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a0dcb0014eb408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OPORTE 2\Desktop\Matriz\"/>
    </mc:Choice>
  </mc:AlternateContent>
  <bookViews>
    <workbookView xWindow="360" yWindow="270" windowWidth="14940" windowHeight="9150" tabRatio="926" activeTab="4"/>
  </bookViews>
  <sheets>
    <sheet name="ListaDeMovimientos" sheetId="67" r:id="rId1"/>
    <sheet name="AUXILIAR" sheetId="64" r:id="rId2"/>
    <sheet name="RESUMEN" sheetId="10" r:id="rId3"/>
    <sheet name="RESUMEN_KALIZ" sheetId="73" r:id="rId4"/>
    <sheet name="CEMENTOS" sheetId="49" r:id="rId5"/>
    <sheet name="COMERC DE LACTEOS" sheetId="2" r:id="rId6"/>
    <sheet name="DANONE" sheetId="58" r:id="rId7"/>
    <sheet name="GKN" sheetId="54" r:id="rId8"/>
    <sheet name="KASAI" sheetId="59" r:id="rId9"/>
    <sheet name="NYLTEK, S.A. DE C.V." sheetId="68" r:id="rId10"/>
    <sheet name="MINA BOLAÑITOS" sheetId="62" r:id="rId11"/>
    <sheet name="OP DISTRIB" sheetId="16" r:id="rId12"/>
    <sheet name="PINTURAS" sheetId="60" r:id="rId13"/>
    <sheet name="RIVAS MARES" sheetId="63" r:id="rId14"/>
    <sheet name="SIEMENS" sheetId="9" r:id="rId15"/>
    <sheet name="SWITCH" sheetId="35" r:id="rId16"/>
    <sheet name="SCHNEIDER ELECTRIC" sheetId="69" r:id="rId17"/>
    <sheet name="THYSSENKRUPP" sheetId="70" r:id="rId18"/>
    <sheet name="UNIVEX" sheetId="20" r:id="rId19"/>
    <sheet name="VILLALOBOS VILLANUEVA" sheetId="46" r:id="rId20"/>
    <sheet name="DIF CENTAVOS" sheetId="6" r:id="rId21"/>
  </sheets>
  <definedNames>
    <definedName name="_xlnm._FilterDatabase" localSheetId="1" hidden="1">AUXILIAR!$A$7:$H$33</definedName>
    <definedName name="_xlnm._FilterDatabase" localSheetId="5" hidden="1">'COMERC DE LACTEOS'!$A$3:$H$4</definedName>
    <definedName name="_xlnm._FilterDatabase" localSheetId="0" hidden="1">ListaDeMovimientos!$D$4:$F$19</definedName>
    <definedName name="_xlnm._FilterDatabase" localSheetId="2" hidden="1">RESUMEN!$A$3:$F$15</definedName>
    <definedName name="Tabla1">AUXILIAR!$A$7:$G$46</definedName>
  </definedNames>
  <calcPr calcId="162913"/>
  <pivotCaches>
    <pivotCache cacheId="1" r:id="rId22"/>
  </pivotCaches>
</workbook>
</file>

<file path=xl/calcChain.xml><?xml version="1.0" encoding="utf-8"?>
<calcChain xmlns="http://schemas.openxmlformats.org/spreadsheetml/2006/main">
  <c r="H6" i="16" l="1"/>
  <c r="H7" i="16" s="1"/>
  <c r="H8" i="16" s="1"/>
  <c r="H5" i="58"/>
  <c r="H4" i="70" l="1"/>
  <c r="H4" i="69"/>
  <c r="H5" i="69" s="1"/>
  <c r="H4" i="68"/>
  <c r="H29" i="9"/>
  <c r="H30" i="9" s="1"/>
  <c r="H31" i="9" s="1"/>
  <c r="H32" i="9" s="1"/>
  <c r="H33" i="9" s="1"/>
  <c r="H5" i="62"/>
  <c r="H6" i="59"/>
  <c r="H7" i="59"/>
  <c r="H18" i="54"/>
  <c r="H19" i="54"/>
  <c r="H20" i="54"/>
  <c r="H21" i="54"/>
  <c r="H22" i="54" s="1"/>
  <c r="H9" i="49"/>
  <c r="C18" i="10" l="1"/>
  <c r="C12" i="10"/>
  <c r="C11" i="10"/>
  <c r="H4" i="63"/>
  <c r="H4" i="62"/>
  <c r="C9" i="10" s="1"/>
  <c r="H4" i="58"/>
  <c r="C6" i="10" s="1"/>
  <c r="H5" i="20"/>
  <c r="H6" i="20" s="1"/>
  <c r="H7" i="20" s="1"/>
  <c r="H8" i="20" s="1"/>
  <c r="H9" i="20" s="1"/>
  <c r="H10" i="20" s="1"/>
  <c r="H11" i="20" s="1"/>
  <c r="H12" i="20" s="1"/>
  <c r="H13" i="20" s="1"/>
  <c r="H14" i="20" s="1"/>
  <c r="H15" i="20" s="1"/>
  <c r="H16" i="20" s="1"/>
  <c r="H17" i="20" s="1"/>
  <c r="H18" i="20" s="1"/>
  <c r="H19" i="20" s="1"/>
  <c r="H20" i="20" s="1"/>
  <c r="H21" i="20" s="1"/>
  <c r="H22" i="20" s="1"/>
  <c r="H23" i="20" s="1"/>
  <c r="H24" i="20" s="1"/>
  <c r="C14" i="10" s="1"/>
  <c r="H4" i="20"/>
  <c r="H4" i="60"/>
  <c r="H4" i="59"/>
  <c r="H5" i="59" s="1"/>
  <c r="C8" i="10" s="1"/>
  <c r="H5" i="46"/>
  <c r="H6" i="46" s="1"/>
  <c r="C15" i="10" s="1"/>
  <c r="H4" i="54"/>
  <c r="H5" i="54"/>
  <c r="H4" i="49"/>
  <c r="H5" i="49" s="1"/>
  <c r="H6" i="49" s="1"/>
  <c r="H7" i="49" s="1"/>
  <c r="H8" i="49" s="1"/>
  <c r="C4" i="10" s="1"/>
  <c r="H4" i="46"/>
  <c r="H5" i="35"/>
  <c r="H6" i="35" s="1"/>
  <c r="H7" i="35" s="1"/>
  <c r="H8" i="35" s="1"/>
  <c r="H9" i="35" s="1"/>
  <c r="C13" i="10" s="1"/>
  <c r="H4" i="35"/>
  <c r="H4" i="9"/>
  <c r="H4" i="2"/>
  <c r="H5" i="2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C5" i="10" s="1"/>
  <c r="H4" i="16"/>
  <c r="H5" i="16"/>
  <c r="C10" i="10"/>
  <c r="C8" i="6"/>
  <c r="C9" i="6" s="1"/>
  <c r="B8" i="6"/>
  <c r="H5" i="9"/>
  <c r="H6" i="9" s="1"/>
  <c r="H7" i="9" s="1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6" i="54"/>
  <c r="H7" i="54" s="1"/>
  <c r="H8" i="54" s="1"/>
  <c r="H9" i="54" s="1"/>
  <c r="H10" i="54" s="1"/>
  <c r="H11" i="54" s="1"/>
  <c r="H12" i="54" s="1"/>
  <c r="H13" i="54" s="1"/>
  <c r="H14" i="54" s="1"/>
  <c r="H15" i="54" s="1"/>
  <c r="H16" i="54" s="1"/>
  <c r="H17" i="54" s="1"/>
  <c r="C7" i="10" s="1"/>
  <c r="C17" i="10" l="1"/>
  <c r="C19" i="10" s="1"/>
</calcChain>
</file>

<file path=xl/sharedStrings.xml><?xml version="1.0" encoding="utf-8"?>
<sst xmlns="http://schemas.openxmlformats.org/spreadsheetml/2006/main" count="946" uniqueCount="298">
  <si>
    <t>Fecha</t>
  </si>
  <si>
    <t>Tipo</t>
  </si>
  <si>
    <t xml:space="preserve">Número </t>
  </si>
  <si>
    <t>Concepto</t>
  </si>
  <si>
    <t>Referencia</t>
  </si>
  <si>
    <t>Cargos</t>
  </si>
  <si>
    <t>Abonos</t>
  </si>
  <si>
    <t>Saldo</t>
  </si>
  <si>
    <t>Ingresos</t>
  </si>
  <si>
    <t xml:space="preserve"> RUBEN ROMANO MORENO</t>
  </si>
  <si>
    <t xml:space="preserve"> GRUPO CONSTRUCTOR ELECTROMECANICO SA DE CV</t>
  </si>
  <si>
    <t xml:space="preserve"> UNIVEX, S.A.</t>
  </si>
  <si>
    <t xml:space="preserve"> SIEMENS S.A. DE C.V.</t>
  </si>
  <si>
    <t xml:space="preserve"> SIEMENS SA DE CV</t>
  </si>
  <si>
    <t xml:space="preserve"> COMERCIALIZADORA DE LACTEOS Y DERIVADOS S.A. DE C.V.</t>
  </si>
  <si>
    <t xml:space="preserve"> SOLUCIONES A LA ORDEN SA DE CV</t>
  </si>
  <si>
    <t xml:space="preserve"> SUCROLIQ S.A.P.I. DE C.V.</t>
  </si>
  <si>
    <t>Diario</t>
  </si>
  <si>
    <t xml:space="preserve"> Sunny Business S. A.</t>
  </si>
  <si>
    <t xml:space="preserve"> O.P. DISTRIBUIDORA DEL BAJIO, S.A. DE C.V.</t>
  </si>
  <si>
    <t>COBRO A CLIENTES</t>
  </si>
  <si>
    <t>15/Nov/2017</t>
  </si>
  <si>
    <t>B 15</t>
  </si>
  <si>
    <t>14/Dic/2017</t>
  </si>
  <si>
    <t>B 30</t>
  </si>
  <si>
    <t>MEYAH SISTEMAS ELECTRICOS, SA DE CV</t>
  </si>
  <si>
    <t>C</t>
  </si>
  <si>
    <t>A</t>
  </si>
  <si>
    <t>No.</t>
  </si>
  <si>
    <t>Hoja</t>
  </si>
  <si>
    <t>Observaciones</t>
  </si>
  <si>
    <t>Ejercicio</t>
  </si>
  <si>
    <t>Nombre Cliente</t>
  </si>
  <si>
    <t>Dif centavos</t>
  </si>
  <si>
    <t>COMERC DE LACTEOS'!A1</t>
  </si>
  <si>
    <t>Contpaq</t>
  </si>
  <si>
    <t>Total</t>
  </si>
  <si>
    <t>11/Ene/2018</t>
  </si>
  <si>
    <t>B 36</t>
  </si>
  <si>
    <t>18/Ene/2018</t>
  </si>
  <si>
    <t>B 44</t>
  </si>
  <si>
    <t>23/Ene/2018</t>
  </si>
  <si>
    <t>B 46</t>
  </si>
  <si>
    <t>30/Ene/2018</t>
  </si>
  <si>
    <t>09/Feb/2018</t>
  </si>
  <si>
    <t>B 52</t>
  </si>
  <si>
    <t>OP DISTRIB'!A1</t>
  </si>
  <si>
    <t>01/Mar/2018</t>
  </si>
  <si>
    <t>B 68</t>
  </si>
  <si>
    <t>28/Mar/2018</t>
  </si>
  <si>
    <t>UNIVEX!A1</t>
  </si>
  <si>
    <t>CONTPAQ i</t>
  </si>
  <si>
    <t>MEYAH SISTEMAS ELECTRICOS SA DE CV</t>
  </si>
  <si>
    <t>Hoja:      1</t>
  </si>
  <si>
    <t>Movimientos, Auxiliares del Catálogo</t>
  </si>
  <si>
    <t>Moneda: Peso Mexicano</t>
  </si>
  <si>
    <t>1-1-03-01-00</t>
  </si>
  <si>
    <t>CLIENTES MN</t>
  </si>
  <si>
    <t>Saldo inicial :</t>
  </si>
  <si>
    <t>02/Abr/2018</t>
  </si>
  <si>
    <t xml:space="preserve"> COMERCIALIZADORA DE LACTEOS Y DERIVADOS, SA DE CV</t>
  </si>
  <si>
    <t>10/Abr/2018</t>
  </si>
  <si>
    <t>25/Abr/2018</t>
  </si>
  <si>
    <t>B 107</t>
  </si>
  <si>
    <t>B 108</t>
  </si>
  <si>
    <t>B 109</t>
  </si>
  <si>
    <t>30/Abr/2018</t>
  </si>
  <si>
    <t>B 111</t>
  </si>
  <si>
    <t>02/May/2018</t>
  </si>
  <si>
    <t>31/May/2018</t>
  </si>
  <si>
    <t>Geo cancelo esta folio y la empresa despues pago</t>
  </si>
  <si>
    <t>01/Jun/2018</t>
  </si>
  <si>
    <t>B 129</t>
  </si>
  <si>
    <t>06/Jun/2018</t>
  </si>
  <si>
    <t>B 131</t>
  </si>
  <si>
    <t>11/Jun/2018</t>
  </si>
  <si>
    <t xml:space="preserve"> SWITCH ENERGY, S.L.</t>
  </si>
  <si>
    <t>B 134</t>
  </si>
  <si>
    <t>14/Jun/2018</t>
  </si>
  <si>
    <t>B 135</t>
  </si>
  <si>
    <t>19/Jun/2018</t>
  </si>
  <si>
    <t xml:space="preserve"> SWITCH ENERGY CAPITAL S.L.</t>
  </si>
  <si>
    <t>20/Jun/2018</t>
  </si>
  <si>
    <t>B 140</t>
  </si>
  <si>
    <t>25/Jun/2018</t>
  </si>
  <si>
    <t xml:space="preserve"> UNIVEX SA DE CV</t>
  </si>
  <si>
    <t>29/Jun/2018</t>
  </si>
  <si>
    <t>30/Jun/2018</t>
  </si>
  <si>
    <t>SWITCH!A1</t>
  </si>
  <si>
    <t>Total:</t>
  </si>
  <si>
    <t>09/Jul/2018</t>
  </si>
  <si>
    <t>11/Jul/2018</t>
  </si>
  <si>
    <t>B 147</t>
  </si>
  <si>
    <t>23/Jul/2018</t>
  </si>
  <si>
    <t>24/Jul/2018</t>
  </si>
  <si>
    <t>B 154</t>
  </si>
  <si>
    <t>B 155</t>
  </si>
  <si>
    <t>31/Jul/2018</t>
  </si>
  <si>
    <t>B 158</t>
  </si>
  <si>
    <t>20/Ago/2018</t>
  </si>
  <si>
    <t>B 165</t>
  </si>
  <si>
    <t>21/Ago/2018</t>
  </si>
  <si>
    <t>22/Ago/2018</t>
  </si>
  <si>
    <t>B 170</t>
  </si>
  <si>
    <t>24/Ago/2018</t>
  </si>
  <si>
    <t>B 172</t>
  </si>
  <si>
    <t>B 173</t>
  </si>
  <si>
    <t>B 174</t>
  </si>
  <si>
    <t>RESUMEN!A1</t>
  </si>
  <si>
    <t xml:space="preserve"> </t>
  </si>
  <si>
    <t>11/Sep/2018</t>
  </si>
  <si>
    <t>B 183</t>
  </si>
  <si>
    <t>17/Sep/2018</t>
  </si>
  <si>
    <t>20/Sep/2018</t>
  </si>
  <si>
    <t>B 189</t>
  </si>
  <si>
    <t>24/Sep/2018</t>
  </si>
  <si>
    <t>B 191</t>
  </si>
  <si>
    <t>25/Sep/2018</t>
  </si>
  <si>
    <t xml:space="preserve"> VILLALOBOS VILLANUEVA ALEJANDRO</t>
  </si>
  <si>
    <t>B 192</t>
  </si>
  <si>
    <t>28/Sep/2018</t>
  </si>
  <si>
    <t>SEP 18</t>
  </si>
  <si>
    <t>VILLALOBOS VILLANUEVA'!A1</t>
  </si>
  <si>
    <t>04/Oct/2018</t>
  </si>
  <si>
    <t>15/Oct/2018</t>
  </si>
  <si>
    <t>16/Oct/2018</t>
  </si>
  <si>
    <t>B 202</t>
  </si>
  <si>
    <t>19/Oct/2018</t>
  </si>
  <si>
    <t>23/Oct/2018</t>
  </si>
  <si>
    <t xml:space="preserve"> CEMENTOS Y CONCRETOS NACIONALES S.A. DE C.V.</t>
  </si>
  <si>
    <t>B 207</t>
  </si>
  <si>
    <t>31/Oct/2018</t>
  </si>
  <si>
    <t>CEMENTOS!A1</t>
  </si>
  <si>
    <t>B 108 CANCEL</t>
  </si>
  <si>
    <t>05/Nov/2018</t>
  </si>
  <si>
    <t>B 214</t>
  </si>
  <si>
    <t>07/Nov/2018</t>
  </si>
  <si>
    <t>B 216</t>
  </si>
  <si>
    <t>13/Nov/2018</t>
  </si>
  <si>
    <t>14/Nov/2018</t>
  </si>
  <si>
    <t>15/Nov/2018</t>
  </si>
  <si>
    <t>B 221</t>
  </si>
  <si>
    <t>16/Nov/2018</t>
  </si>
  <si>
    <t>B 223</t>
  </si>
  <si>
    <t>20/Nov/2018</t>
  </si>
  <si>
    <t>B 226</t>
  </si>
  <si>
    <t>SANTANDER</t>
  </si>
  <si>
    <t>21/Nov/2018</t>
  </si>
  <si>
    <t>B 227</t>
  </si>
  <si>
    <t xml:space="preserve"> GKN DRIVELINE CELAYA S.A. DE C.V.</t>
  </si>
  <si>
    <t>B 229</t>
  </si>
  <si>
    <t>B 230</t>
  </si>
  <si>
    <t xml:space="preserve"> ROMANO MORENO RUBEN </t>
  </si>
  <si>
    <t>23/Nov/2018</t>
  </si>
  <si>
    <t>27/Nov/2018</t>
  </si>
  <si>
    <t>29/Nov/2018</t>
  </si>
  <si>
    <t xml:space="preserve"> O.P. DISTRIBUIDORA DEL BAJIO S.A. DE C.V.</t>
  </si>
  <si>
    <t>B 232</t>
  </si>
  <si>
    <t>30/Nov/2018</t>
  </si>
  <si>
    <t>NOV 18</t>
  </si>
  <si>
    <t>Facturada en diciembre</t>
  </si>
  <si>
    <t>B 134 DIF DE PAGO</t>
  </si>
  <si>
    <t>JUN 18</t>
  </si>
  <si>
    <t>AGO / NOV 18</t>
  </si>
  <si>
    <t>B 192. CAMIONETA</t>
  </si>
  <si>
    <t>A5AE644D-0E59-4016-BACC-FE8288EBC40C</t>
  </si>
  <si>
    <t>04/Dic/2018</t>
  </si>
  <si>
    <t>06/Dic/2018</t>
  </si>
  <si>
    <t>18/Dic/2018</t>
  </si>
  <si>
    <t>19/Dic/2018</t>
  </si>
  <si>
    <t>B 235</t>
  </si>
  <si>
    <t>20/Dic/2018</t>
  </si>
  <si>
    <t xml:space="preserve"> GKN DRIVELINE CELAYA SA DE CV</t>
  </si>
  <si>
    <t>21/Dic/2018</t>
  </si>
  <si>
    <t>31/Dic/2018</t>
  </si>
  <si>
    <t xml:space="preserve">  UNIVEX SA DE CV</t>
  </si>
  <si>
    <t>B 223 CANCELADA</t>
  </si>
  <si>
    <t>ESTE CFDI EN EL SAT NO ESTA CANCELADO</t>
  </si>
  <si>
    <t>ESTE PROVEEDOR NO ACEPTA LA CANCELACION DEL FOLIO B 36 DE ENERO Y EN CONTABILIDAD QUEDO CANCELADA EN NOVIEMBRE</t>
  </si>
  <si>
    <t>B 173  / B 174</t>
  </si>
  <si>
    <t>DEPURACION DE CLIENTES</t>
  </si>
  <si>
    <t>07/Ene/2019</t>
  </si>
  <si>
    <t>B 240</t>
  </si>
  <si>
    <t xml:space="preserve"> KASAI MEXICANA S.A. DE C.V.</t>
  </si>
  <si>
    <t>B 242</t>
  </si>
  <si>
    <t>B 243</t>
  </si>
  <si>
    <t>B 245</t>
  </si>
  <si>
    <t>08/Ene/2019</t>
  </si>
  <si>
    <t>10/Ene/2019</t>
  </si>
  <si>
    <t>B 253</t>
  </si>
  <si>
    <t>17/Ene/2019</t>
  </si>
  <si>
    <t xml:space="preserve"> DANONE DE MEXICO S.A. DE C.V.</t>
  </si>
  <si>
    <t>B 257</t>
  </si>
  <si>
    <t>21/Ene/2019</t>
  </si>
  <si>
    <t>29/Ene/2019</t>
  </si>
  <si>
    <t xml:space="preserve"> PINTURA ESTAMPADO Y MONTAJE, S.A.P.I. DE C.V.</t>
  </si>
  <si>
    <t>B 261</t>
  </si>
  <si>
    <t>30/Ene/2019</t>
  </si>
  <si>
    <t>B 262</t>
  </si>
  <si>
    <t>B 263</t>
  </si>
  <si>
    <t>B 264</t>
  </si>
  <si>
    <t>B 265</t>
  </si>
  <si>
    <t>B 266</t>
  </si>
  <si>
    <t xml:space="preserve">T o t a l: </t>
  </si>
  <si>
    <t>DANONE!A1</t>
  </si>
  <si>
    <t>GKN!A1</t>
  </si>
  <si>
    <t>KASAI!A1</t>
  </si>
  <si>
    <t>PINTURAS!A1</t>
  </si>
  <si>
    <t>05/Feb/2019</t>
  </si>
  <si>
    <t>08/Feb/2019</t>
  </si>
  <si>
    <t>18/Feb/2019</t>
  </si>
  <si>
    <t>20/Feb/2019</t>
  </si>
  <si>
    <t>B 271</t>
  </si>
  <si>
    <t>21/Feb/2019</t>
  </si>
  <si>
    <t xml:space="preserve"> RIVAS MARES RODOLFO</t>
  </si>
  <si>
    <t>B 272</t>
  </si>
  <si>
    <t>22/Feb/2019</t>
  </si>
  <si>
    <t xml:space="preserve"> MINA BOLAÑITOS S.A. DE C.V.</t>
  </si>
  <si>
    <t>B 273</t>
  </si>
  <si>
    <t>28/Feb/2019</t>
  </si>
  <si>
    <t>B 275</t>
  </si>
  <si>
    <t>B 276</t>
  </si>
  <si>
    <t>ENE 19</t>
  </si>
  <si>
    <t>ENE  19</t>
  </si>
  <si>
    <t>Facturas varias</t>
  </si>
  <si>
    <t>ENE Y FEB 19</t>
  </si>
  <si>
    <t>B 242 Y B 243</t>
  </si>
  <si>
    <t>FEB 19</t>
  </si>
  <si>
    <t>NOV 19</t>
  </si>
  <si>
    <t>MINA BOLAÑITOS'!A1</t>
  </si>
  <si>
    <t>RIVAS MARES'!A1</t>
  </si>
  <si>
    <t>DEPURACION CLIENTES AL 28 DE FEBRERO DE 2019</t>
  </si>
  <si>
    <t>Fecha: 07/May/2019</t>
  </si>
  <si>
    <t>del 01/Mar/2019 al 31/Mar/2019</t>
  </si>
  <si>
    <t>05/Mar/2019</t>
  </si>
  <si>
    <t xml:space="preserve"> CONSTRUCCIONES ELECTRICAS DE ANDA DE IRAPUATO SA DE CV</t>
  </si>
  <si>
    <t>B 284</t>
  </si>
  <si>
    <t>06/Mar/2019</t>
  </si>
  <si>
    <t>B 278</t>
  </si>
  <si>
    <t>B 279</t>
  </si>
  <si>
    <t>B 280</t>
  </si>
  <si>
    <t>B 281</t>
  </si>
  <si>
    <t xml:space="preserve"> THYSSENKRUPP COMPONENTS TECHNOLOGY DE MEXICO S.A. DE C.V.</t>
  </si>
  <si>
    <t>B 282</t>
  </si>
  <si>
    <t xml:space="preserve"> NYLTEK, S.A. DE C.V.</t>
  </si>
  <si>
    <t>B 283</t>
  </si>
  <si>
    <t>08/Mar/2019</t>
  </si>
  <si>
    <t xml:space="preserve"> SCHNEIDER ELECTRIC MEXICO S.A. DE C.V.</t>
  </si>
  <si>
    <t>B 285</t>
  </si>
  <si>
    <t>B 286</t>
  </si>
  <si>
    <t>14/Mar/2019</t>
  </si>
  <si>
    <t>B 287</t>
  </si>
  <si>
    <t>B 288</t>
  </si>
  <si>
    <t>15/Mar/2019</t>
  </si>
  <si>
    <t>B 289</t>
  </si>
  <si>
    <t>B273</t>
  </si>
  <si>
    <t>19/Mar/2019</t>
  </si>
  <si>
    <t>B 290</t>
  </si>
  <si>
    <t>21/Mar/2019</t>
  </si>
  <si>
    <t>B 291</t>
  </si>
  <si>
    <t>22/Mar/2019</t>
  </si>
  <si>
    <t>B 292</t>
  </si>
  <si>
    <t>B 293</t>
  </si>
  <si>
    <t>25/Mar/2019</t>
  </si>
  <si>
    <t>29/Mar/2019</t>
  </si>
  <si>
    <t>B 299</t>
  </si>
  <si>
    <t>30/Mar/2019</t>
  </si>
  <si>
    <t>Etiquetas de fila</t>
  </si>
  <si>
    <t>(en blanco)</t>
  </si>
  <si>
    <t>Total general</t>
  </si>
  <si>
    <t>Suma de Abonos</t>
  </si>
  <si>
    <t>Valores</t>
  </si>
  <si>
    <t>Suma de Cargos</t>
  </si>
  <si>
    <t>Realiza Movimiento</t>
  </si>
  <si>
    <t>No realizar Movimiento</t>
  </si>
  <si>
    <t>ListaDeMovimientos</t>
  </si>
  <si>
    <t>AUXILIAR</t>
  </si>
  <si>
    <t>RESUMEN</t>
  </si>
  <si>
    <t>CEMENTOS</t>
  </si>
  <si>
    <t>COMERC DE LACTEOS</t>
  </si>
  <si>
    <t>DANONE</t>
  </si>
  <si>
    <t>GKN</t>
  </si>
  <si>
    <t>KASAI</t>
  </si>
  <si>
    <t>MINA BOLAÑITOS</t>
  </si>
  <si>
    <t>OP DISTRIB</t>
  </si>
  <si>
    <t>PINTURAS</t>
  </si>
  <si>
    <t>RIVAS MARES</t>
  </si>
  <si>
    <t>SIEMENS</t>
  </si>
  <si>
    <t>SWITCH</t>
  </si>
  <si>
    <t>UNIVEX</t>
  </si>
  <si>
    <t>VILLALOBOS VILLANUEVA</t>
  </si>
  <si>
    <t>DIF CENTAVOS</t>
  </si>
  <si>
    <t>HOJA INEXISTENTE</t>
  </si>
  <si>
    <t>HOJA EXISTENTE</t>
  </si>
  <si>
    <t>NYLTEK, S.A. DE C.V.</t>
  </si>
  <si>
    <t>SCHNEIDER ELECTRIC</t>
  </si>
  <si>
    <t>THYSSENKRUPP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</si>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</sst>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(* #,##0.00_);_(* \(#,##0.00\);_(* &quot;-&quot;??_);_(@_)"/>
  </numFmts>
  <fonts count="25" x14ac:knownFonts="1">
    <font>
      <sz val="10"/>
      <name val="Arial"/>
    </font>
    <font>
      <sz val="10"/>
      <name val="Arial"/>
      <family val="2"/>
    </font>
    <font>
      <sz val="9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u/>
      <sz val="10"/>
      <color theme="10"/>
      <name val="Arial"/>
      <family val="2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9"/>
      <color indexed="10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9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i/>
      <sz val="12"/>
      <color indexed="12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</cellStyleXfs>
  <cellXfs count="114">
    <xf numFmtId="0" fontId="0" fillId="0" borderId="0" xfId="0"/>
    <xf numFmtId="49" fontId="2" fillId="4" borderId="1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0" fontId="7" fillId="0" borderId="0" xfId="0" applyFont="1"/>
    <xf numFmtId="49" fontId="8" fillId="2" borderId="1" xfId="0" applyNumberFormat="1" applyFont="1" applyFill="1" applyBorder="1" applyAlignment="1">
      <alignment horizontal="left" vertical="top"/>
    </xf>
    <xf numFmtId="4" fontId="9" fillId="2" borderId="1" xfId="0" applyNumberFormat="1" applyFont="1" applyFill="1" applyBorder="1" applyAlignment="1">
      <alignment horizontal="right" vertical="top"/>
    </xf>
    <xf numFmtId="49" fontId="9" fillId="5" borderId="1" xfId="0" applyNumberFormat="1" applyFont="1" applyFill="1" applyBorder="1" applyAlignment="1">
      <alignment horizontal="left" vertical="top"/>
    </xf>
    <xf numFmtId="3" fontId="9" fillId="5" borderId="1" xfId="0" applyNumberFormat="1" applyFont="1" applyFill="1" applyBorder="1" applyAlignment="1">
      <alignment horizontal="right" vertical="top"/>
    </xf>
    <xf numFmtId="4" fontId="9" fillId="5" borderId="1" xfId="0" applyNumberFormat="1" applyFont="1" applyFill="1" applyBorder="1" applyAlignment="1">
      <alignment horizontal="right" vertical="top"/>
    </xf>
    <xf numFmtId="0" fontId="10" fillId="0" borderId="0" xfId="0" applyFont="1"/>
    <xf numFmtId="49" fontId="9" fillId="2" borderId="1" xfId="0" applyNumberFormat="1" applyFont="1" applyFill="1" applyBorder="1" applyAlignment="1">
      <alignment horizontal="left" vertical="top"/>
    </xf>
    <xf numFmtId="3" fontId="9" fillId="2" borderId="1" xfId="0" applyNumberFormat="1" applyFont="1" applyFill="1" applyBorder="1" applyAlignment="1">
      <alignment horizontal="right" vertical="top"/>
    </xf>
    <xf numFmtId="164" fontId="7" fillId="0" borderId="0" xfId="2" applyFont="1"/>
    <xf numFmtId="4" fontId="11" fillId="2" borderId="1" xfId="0" applyNumberFormat="1" applyFont="1" applyFill="1" applyBorder="1" applyAlignment="1">
      <alignment horizontal="right" vertical="top"/>
    </xf>
    <xf numFmtId="49" fontId="9" fillId="0" borderId="1" xfId="0" applyNumberFormat="1" applyFont="1" applyFill="1" applyBorder="1" applyAlignment="1">
      <alignment horizontal="left" vertical="top"/>
    </xf>
    <xf numFmtId="3" fontId="9" fillId="0" borderId="1" xfId="0" applyNumberFormat="1" applyFont="1" applyFill="1" applyBorder="1" applyAlignment="1">
      <alignment horizontal="right" vertical="top"/>
    </xf>
    <xf numFmtId="4" fontId="9" fillId="0" borderId="1" xfId="0" applyNumberFormat="1" applyFont="1" applyFill="1" applyBorder="1" applyAlignment="1">
      <alignment horizontal="right" vertical="top"/>
    </xf>
    <xf numFmtId="49" fontId="8" fillId="0" borderId="1" xfId="0" applyNumberFormat="1" applyFont="1" applyFill="1" applyBorder="1" applyAlignment="1">
      <alignment horizontal="left" vertical="top"/>
    </xf>
    <xf numFmtId="49" fontId="12" fillId="6" borderId="1" xfId="0" applyNumberFormat="1" applyFont="1" applyFill="1" applyBorder="1" applyAlignment="1">
      <alignment horizontal="center" vertical="top"/>
    </xf>
    <xf numFmtId="164" fontId="12" fillId="6" borderId="1" xfId="2" applyFont="1" applyFill="1" applyBorder="1" applyAlignment="1">
      <alignment horizontal="center" vertical="top"/>
    </xf>
    <xf numFmtId="4" fontId="10" fillId="0" borderId="0" xfId="0" applyNumberFormat="1" applyFont="1"/>
    <xf numFmtId="164" fontId="10" fillId="0" borderId="0" xfId="2" applyFont="1"/>
    <xf numFmtId="164" fontId="13" fillId="6" borderId="0" xfId="2" applyFont="1" applyFill="1" applyAlignment="1">
      <alignment horizontal="center"/>
    </xf>
    <xf numFmtId="164" fontId="13" fillId="6" borderId="1" xfId="2" applyFont="1" applyFill="1" applyBorder="1" applyAlignment="1">
      <alignment horizontal="center" vertical="top"/>
    </xf>
    <xf numFmtId="0" fontId="10" fillId="0" borderId="0" xfId="0" applyFont="1" applyFill="1" applyBorder="1"/>
    <xf numFmtId="164" fontId="10" fillId="0" borderId="0" xfId="0" applyNumberFormat="1" applyFont="1"/>
    <xf numFmtId="43" fontId="10" fillId="0" borderId="0" xfId="0" applyNumberFormat="1" applyFont="1"/>
    <xf numFmtId="0" fontId="10" fillId="0" borderId="0" xfId="0" applyFont="1" applyFill="1"/>
    <xf numFmtId="0" fontId="9" fillId="0" borderId="0" xfId="0" applyNumberFormat="1" applyFont="1" applyFill="1" applyBorder="1" applyAlignment="1">
      <alignment horizontal="right" vertical="top"/>
    </xf>
    <xf numFmtId="0" fontId="14" fillId="0" borderId="0" xfId="1" quotePrefix="1" applyFont="1" applyAlignment="1">
      <alignment horizontal="left"/>
    </xf>
    <xf numFmtId="49" fontId="9" fillId="0" borderId="0" xfId="0" applyNumberFormat="1" applyFont="1" applyFill="1" applyBorder="1" applyAlignment="1">
      <alignment horizontal="left" vertical="top"/>
    </xf>
    <xf numFmtId="0" fontId="15" fillId="0" borderId="0" xfId="0" applyFont="1"/>
    <xf numFmtId="164" fontId="15" fillId="0" borderId="0" xfId="2" applyFont="1"/>
    <xf numFmtId="0" fontId="12" fillId="0" borderId="0" xfId="0" applyNumberFormat="1" applyFont="1" applyFill="1" applyBorder="1" applyAlignment="1">
      <alignment horizontal="right" vertical="top"/>
    </xf>
    <xf numFmtId="49" fontId="15" fillId="0" borderId="1" xfId="0" applyNumberFormat="1" applyFont="1" applyFill="1" applyBorder="1" applyAlignment="1">
      <alignment horizontal="left" vertical="top"/>
    </xf>
    <xf numFmtId="3" fontId="15" fillId="0" borderId="1" xfId="0" applyNumberFormat="1" applyFont="1" applyFill="1" applyBorder="1" applyAlignment="1">
      <alignment horizontal="right" vertical="top"/>
    </xf>
    <xf numFmtId="4" fontId="15" fillId="0" borderId="1" xfId="0" applyNumberFormat="1" applyFont="1" applyFill="1" applyBorder="1" applyAlignment="1">
      <alignment horizontal="right" vertical="top"/>
    </xf>
    <xf numFmtId="0" fontId="16" fillId="0" borderId="0" xfId="0" applyNumberFormat="1" applyFont="1" applyFill="1" applyBorder="1" applyAlignment="1">
      <alignment horizontal="right" vertical="top"/>
    </xf>
    <xf numFmtId="0" fontId="17" fillId="0" borderId="0" xfId="0" applyFont="1"/>
    <xf numFmtId="0" fontId="17" fillId="0" borderId="0" xfId="0" applyFont="1" applyFill="1"/>
    <xf numFmtId="4" fontId="11" fillId="0" borderId="1" xfId="0" applyNumberFormat="1" applyFont="1" applyFill="1" applyBorder="1" applyAlignment="1">
      <alignment horizontal="right" vertical="top"/>
    </xf>
    <xf numFmtId="0" fontId="6" fillId="0" borderId="0" xfId="1"/>
    <xf numFmtId="49" fontId="9" fillId="2" borderId="1" xfId="3" applyNumberFormat="1" applyFont="1" applyFill="1" applyBorder="1" applyAlignment="1">
      <alignment horizontal="left" vertical="top"/>
    </xf>
    <xf numFmtId="4" fontId="9" fillId="2" borderId="1" xfId="3" applyNumberFormat="1" applyFont="1" applyFill="1" applyBorder="1" applyAlignment="1">
      <alignment horizontal="right" vertical="top"/>
    </xf>
    <xf numFmtId="3" fontId="9" fillId="2" borderId="1" xfId="3" applyNumberFormat="1" applyFont="1" applyFill="1" applyBorder="1" applyAlignment="1">
      <alignment horizontal="right" vertical="top"/>
    </xf>
    <xf numFmtId="49" fontId="9" fillId="5" borderId="1" xfId="3" applyNumberFormat="1" applyFont="1" applyFill="1" applyBorder="1" applyAlignment="1">
      <alignment horizontal="left" vertical="top"/>
    </xf>
    <xf numFmtId="3" fontId="9" fillId="5" borderId="1" xfId="3" applyNumberFormat="1" applyFont="1" applyFill="1" applyBorder="1" applyAlignment="1">
      <alignment horizontal="right" vertical="top"/>
    </xf>
    <xf numFmtId="4" fontId="9" fillId="5" borderId="1" xfId="3" applyNumberFormat="1" applyFont="1" applyFill="1" applyBorder="1" applyAlignment="1">
      <alignment horizontal="right" vertical="top"/>
    </xf>
    <xf numFmtId="49" fontId="9" fillId="0" borderId="1" xfId="3" applyNumberFormat="1" applyFont="1" applyFill="1" applyBorder="1" applyAlignment="1">
      <alignment horizontal="left" vertical="top"/>
    </xf>
    <xf numFmtId="3" fontId="9" fillId="0" borderId="1" xfId="3" applyNumberFormat="1" applyFont="1" applyFill="1" applyBorder="1" applyAlignment="1">
      <alignment horizontal="right" vertical="top"/>
    </xf>
    <xf numFmtId="4" fontId="9" fillId="0" borderId="1" xfId="3" applyNumberFormat="1" applyFont="1" applyFill="1" applyBorder="1" applyAlignment="1">
      <alignment horizontal="right" vertical="top"/>
    </xf>
    <xf numFmtId="49" fontId="9" fillId="7" borderId="1" xfId="0" applyNumberFormat="1" applyFont="1" applyFill="1" applyBorder="1" applyAlignment="1">
      <alignment horizontal="left" vertical="top"/>
    </xf>
    <xf numFmtId="164" fontId="10" fillId="7" borderId="0" xfId="2" applyFont="1" applyFill="1"/>
    <xf numFmtId="0" fontId="14" fillId="7" borderId="0" xfId="1" quotePrefix="1" applyFont="1" applyFill="1" applyAlignment="1">
      <alignment horizontal="left"/>
    </xf>
    <xf numFmtId="49" fontId="9" fillId="7" borderId="0" xfId="0" applyNumberFormat="1" applyFont="1" applyFill="1" applyBorder="1" applyAlignment="1">
      <alignment horizontal="left" vertical="top"/>
    </xf>
    <xf numFmtId="4" fontId="9" fillId="3" borderId="1" xfId="0" applyNumberFormat="1" applyFont="1" applyFill="1" applyBorder="1" applyAlignment="1">
      <alignment horizontal="right" vertical="top"/>
    </xf>
    <xf numFmtId="49" fontId="9" fillId="3" borderId="1" xfId="0" applyNumberFormat="1" applyFont="1" applyFill="1" applyBorder="1" applyAlignment="1">
      <alignment horizontal="left" vertical="top"/>
    </xf>
    <xf numFmtId="3" fontId="9" fillId="3" borderId="1" xfId="0" applyNumberFormat="1" applyFont="1" applyFill="1" applyBorder="1" applyAlignment="1">
      <alignment horizontal="right" vertical="top"/>
    </xf>
    <xf numFmtId="0" fontId="10" fillId="3" borderId="1" xfId="0" applyFont="1" applyFill="1" applyBorder="1" applyAlignment="1"/>
    <xf numFmtId="164" fontId="9" fillId="0" borderId="0" xfId="2" applyFont="1" applyFill="1" applyBorder="1" applyAlignment="1">
      <alignment horizontal="center" vertical="top"/>
    </xf>
    <xf numFmtId="0" fontId="10" fillId="7" borderId="0" xfId="0" applyFont="1" applyFill="1" applyBorder="1"/>
    <xf numFmtId="0" fontId="0" fillId="0" borderId="0" xfId="0" applyFill="1"/>
    <xf numFmtId="4" fontId="9" fillId="3" borderId="1" xfId="3" applyNumberFormat="1" applyFont="1" applyFill="1" applyBorder="1" applyAlignment="1">
      <alignment horizontal="right" vertical="top"/>
    </xf>
    <xf numFmtId="49" fontId="9" fillId="3" borderId="1" xfId="3" applyNumberFormat="1" applyFont="1" applyFill="1" applyBorder="1" applyAlignment="1">
      <alignment horizontal="left" vertical="top"/>
    </xf>
    <xf numFmtId="3" fontId="9" fillId="3" borderId="1" xfId="3" applyNumberFormat="1" applyFont="1" applyFill="1" applyBorder="1" applyAlignment="1">
      <alignment horizontal="right" vertical="top"/>
    </xf>
    <xf numFmtId="4" fontId="11" fillId="3" borderId="1" xfId="3" applyNumberFormat="1" applyFont="1" applyFill="1" applyBorder="1" applyAlignment="1">
      <alignment horizontal="right" vertical="top"/>
    </xf>
    <xf numFmtId="164" fontId="10" fillId="5" borderId="0" xfId="2" applyFont="1" applyFill="1"/>
    <xf numFmtId="49" fontId="17" fillId="0" borderId="1" xfId="0" applyNumberFormat="1" applyFont="1" applyFill="1" applyBorder="1" applyAlignment="1">
      <alignment horizontal="left" vertical="top"/>
    </xf>
    <xf numFmtId="0" fontId="14" fillId="0" borderId="0" xfId="1" quotePrefix="1" applyFont="1" applyFill="1" applyAlignment="1">
      <alignment horizontal="left"/>
    </xf>
    <xf numFmtId="164" fontId="10" fillId="0" borderId="0" xfId="2" applyFont="1" applyFill="1"/>
    <xf numFmtId="49" fontId="8" fillId="3" borderId="1" xfId="3" applyNumberFormat="1" applyFont="1" applyFill="1" applyBorder="1" applyAlignment="1">
      <alignment horizontal="left" vertical="top"/>
    </xf>
    <xf numFmtId="49" fontId="8" fillId="0" borderId="1" xfId="3" applyNumberFormat="1" applyFont="1" applyFill="1" applyBorder="1" applyAlignment="1">
      <alignment horizontal="left" vertical="top"/>
    </xf>
    <xf numFmtId="164" fontId="17" fillId="0" borderId="0" xfId="2" applyFont="1" applyFill="1"/>
    <xf numFmtId="49" fontId="5" fillId="5" borderId="1" xfId="0" applyNumberFormat="1" applyFont="1" applyFill="1" applyBorder="1" applyAlignment="1">
      <alignment horizontal="left" vertical="top"/>
    </xf>
    <xf numFmtId="49" fontId="4" fillId="3" borderId="1" xfId="0" applyNumberFormat="1" applyFont="1" applyFill="1" applyBorder="1" applyAlignment="1">
      <alignment horizontal="left" vertical="top"/>
    </xf>
    <xf numFmtId="4" fontId="5" fillId="3" borderId="1" xfId="0" applyNumberFormat="1" applyFont="1" applyFill="1" applyBorder="1" applyAlignment="1">
      <alignment horizontal="right" vertical="top"/>
    </xf>
    <xf numFmtId="49" fontId="5" fillId="3" borderId="1" xfId="0" applyNumberFormat="1" applyFont="1" applyFill="1" applyBorder="1" applyAlignment="1">
      <alignment horizontal="left" vertical="top"/>
    </xf>
    <xf numFmtId="3" fontId="5" fillId="3" borderId="1" xfId="0" applyNumberFormat="1" applyFont="1" applyFill="1" applyBorder="1" applyAlignment="1">
      <alignment horizontal="right" vertical="top"/>
    </xf>
    <xf numFmtId="3" fontId="5" fillId="5" borderId="1" xfId="0" applyNumberFormat="1" applyFont="1" applyFill="1" applyBorder="1" applyAlignment="1">
      <alignment horizontal="right" vertical="top"/>
    </xf>
    <xf numFmtId="4" fontId="5" fillId="5" borderId="1" xfId="0" applyNumberFormat="1" applyFont="1" applyFill="1" applyBorder="1" applyAlignment="1">
      <alignment horizontal="right" vertical="top"/>
    </xf>
    <xf numFmtId="49" fontId="4" fillId="5" borderId="1" xfId="0" applyNumberFormat="1" applyFont="1" applyFill="1" applyBorder="1" applyAlignment="1">
      <alignment horizontal="left" vertical="top"/>
    </xf>
    <xf numFmtId="49" fontId="0" fillId="0" borderId="0" xfId="0" applyNumberFormat="1"/>
    <xf numFmtId="49" fontId="5" fillId="0" borderId="1" xfId="0" applyNumberFormat="1" applyFont="1" applyFill="1" applyBorder="1" applyAlignment="1">
      <alignment horizontal="left" vertical="top"/>
    </xf>
    <xf numFmtId="3" fontId="5" fillId="0" borderId="1" xfId="0" applyNumberFormat="1" applyFont="1" applyFill="1" applyBorder="1" applyAlignment="1">
      <alignment horizontal="right" vertical="top"/>
    </xf>
    <xf numFmtId="49" fontId="4" fillId="0" borderId="1" xfId="0" applyNumberFormat="1" applyFont="1" applyFill="1" applyBorder="1" applyAlignment="1">
      <alignment horizontal="left" vertical="top"/>
    </xf>
    <xf numFmtId="4" fontId="5" fillId="0" borderId="1" xfId="0" applyNumberFormat="1" applyFont="1" applyFill="1" applyBorder="1" applyAlignment="1">
      <alignment horizontal="right" vertical="top"/>
    </xf>
    <xf numFmtId="4" fontId="0" fillId="0" borderId="0" xfId="0" applyNumberFormat="1"/>
    <xf numFmtId="49" fontId="8" fillId="3" borderId="1" xfId="0" applyNumberFormat="1" applyFont="1" applyFill="1" applyBorder="1" applyAlignment="1">
      <alignment horizontal="left" vertical="top"/>
    </xf>
    <xf numFmtId="0" fontId="18" fillId="0" borderId="0" xfId="1" applyFont="1"/>
    <xf numFmtId="49" fontId="8" fillId="5" borderId="1" xfId="0" applyNumberFormat="1" applyFont="1" applyFill="1" applyBorder="1" applyAlignment="1">
      <alignment horizontal="left" vertical="top"/>
    </xf>
    <xf numFmtId="0" fontId="0" fillId="0" borderId="0" xfId="0"/>
    <xf numFmtId="49" fontId="19" fillId="3" borderId="1" xfId="0" applyNumberFormat="1" applyFont="1" applyFill="1" applyBorder="1" applyAlignment="1">
      <alignment horizontal="left" vertical="top"/>
    </xf>
    <xf numFmtId="49" fontId="20" fillId="3" borderId="1" xfId="0" applyNumberFormat="1" applyFont="1" applyFill="1" applyBorder="1" applyAlignment="1">
      <alignment horizontal="center" vertical="top"/>
    </xf>
    <xf numFmtId="49" fontId="20" fillId="3" borderId="1" xfId="0" applyNumberFormat="1" applyFont="1" applyFill="1" applyBorder="1" applyAlignment="1">
      <alignment horizontal="right" vertical="top"/>
    </xf>
    <xf numFmtId="0" fontId="0" fillId="3" borderId="1" xfId="0" applyFill="1" applyBorder="1" applyAlignment="1"/>
    <xf numFmtId="49" fontId="21" fillId="3" borderId="1" xfId="0" applyNumberFormat="1" applyFont="1" applyFill="1" applyBorder="1" applyAlignment="1">
      <alignment horizontal="left" vertical="top"/>
    </xf>
    <xf numFmtId="49" fontId="21" fillId="3" borderId="1" xfId="0" applyNumberFormat="1" applyFont="1" applyFill="1" applyBorder="1" applyAlignment="1">
      <alignment horizontal="right" vertical="top"/>
    </xf>
    <xf numFmtId="49" fontId="21" fillId="3" borderId="1" xfId="0" applyNumberFormat="1" applyFont="1" applyFill="1" applyBorder="1" applyAlignment="1">
      <alignment horizontal="center" vertical="top"/>
    </xf>
    <xf numFmtId="49" fontId="22" fillId="3" borderId="1" xfId="0" applyNumberFormat="1" applyFont="1" applyFill="1" applyBorder="1" applyAlignment="1">
      <alignment horizontal="left" vertical="top"/>
    </xf>
    <xf numFmtId="49" fontId="23" fillId="3" borderId="1" xfId="0" applyNumberFormat="1" applyFont="1" applyFill="1" applyBorder="1" applyAlignment="1">
      <alignment horizontal="right" vertical="top"/>
    </xf>
    <xf numFmtId="4" fontId="23" fillId="3" borderId="1" xfId="0" applyNumberFormat="1" applyFont="1" applyFill="1" applyBorder="1" applyAlignment="1">
      <alignment horizontal="right" vertical="top"/>
    </xf>
    <xf numFmtId="49" fontId="23" fillId="3" borderId="1" xfId="0" applyNumberFormat="1" applyFont="1" applyFill="1" applyBorder="1" applyAlignment="1">
      <alignment horizontal="left" vertical="top"/>
    </xf>
    <xf numFmtId="3" fontId="23" fillId="3" borderId="1" xfId="0" applyNumberFormat="1" applyFont="1" applyFill="1" applyBorder="1" applyAlignment="1">
      <alignment horizontal="right" vertical="top"/>
    </xf>
    <xf numFmtId="4" fontId="22" fillId="3" borderId="1" xfId="0" applyNumberFormat="1" applyFont="1" applyFill="1" applyBorder="1" applyAlignment="1">
      <alignment horizontal="right" vertical="top"/>
    </xf>
    <xf numFmtId="49" fontId="22" fillId="3" borderId="1" xfId="0" applyNumberFormat="1" applyFont="1" applyFill="1" applyBorder="1" applyAlignment="1">
      <alignment horizontal="right" vertical="top"/>
    </xf>
    <xf numFmtId="0" fontId="0" fillId="0" borderId="0" xfId="0" pivotButton="1"/>
    <xf numFmtId="3" fontId="0" fillId="0" borderId="0" xfId="0" applyNumberFormat="1"/>
    <xf numFmtId="0" fontId="0" fillId="8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13" fillId="6" borderId="0" xfId="0" applyFont="1" applyFill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13" fillId="6" borderId="0" xfId="0" applyFont="1" applyFill="1" applyBorder="1" applyAlignment="1">
      <alignment horizontal="center"/>
    </xf>
    <xf numFmtId="0" fontId="0" fillId="11" borderId="3" xfId="0" applyFill="1" applyBorder="1"/>
  </cellXfs>
  <cellStyles count="4">
    <cellStyle name="Hipervínculo" xfId="1" builtinId="8"/>
    <cellStyle name="Millares" xfId="2" builtinId="3"/>
    <cellStyle name="Normal" xfId="0" builtinId="0"/>
    <cellStyle name="Normal 2" xfId="3"/>
  </cellStyles>
  <dxfs count="25">
    <dxf>
      <numFmt numFmtId="0" formatCode="General"/>
      <fill>
        <patternFill patternType="solid">
          <fgColor indexed="64"/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8</xdr:row>
          <xdr:rowOff>9525</xdr:rowOff>
        </xdr:from>
        <xdr:to>
          <xdr:col>16</xdr:col>
          <xdr:colOff>704850</xdr:colOff>
          <xdr:row>10</xdr:row>
          <xdr:rowOff>104775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Extraer Valores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OPORTE 2" refreshedDate="43634.697306481481" createdVersion="3" refreshedVersion="6" minRefreshableVersion="3" recordCount="33">
  <cacheSource type="worksheet">
    <worksheetSource name="Tabla1"/>
  </cacheSource>
  <cacheFields count="7">
    <cacheField name="Fecha" numFmtId="0">
      <sharedItems containsBlank="1"/>
    </cacheField>
    <cacheField name="Tipo" numFmtId="0">
      <sharedItems containsBlank="1"/>
    </cacheField>
    <cacheField name="Número " numFmtId="0">
      <sharedItems containsString="0" containsBlank="1" containsNumber="1" containsInteger="1" minValue="1" maxValue="22"/>
    </cacheField>
    <cacheField name="Concepto" numFmtId="0">
      <sharedItems containsBlank="1" count="14">
        <s v=" CONSTRUCCIONES ELECTRICAS DE ANDA DE IRAPUATO SA DE CV"/>
        <s v=" SIEMENS S.A. DE C.V."/>
        <s v=" KASAI MEXICANA S.A. DE C.V."/>
        <s v=" THYSSENKRUPP COMPONENTS TECHNOLOGY DE MEXICO S.A. DE C.V."/>
        <s v=" NYLTEK, S.A. DE C.V."/>
        <s v=" SCHNEIDER ELECTRIC MEXICO S.A. DE C.V."/>
        <s v=" GKN DRIVELINE CELAYA SA DE CV"/>
        <s v=" GKN DRIVELINE CELAYA S.A. DE C.V."/>
        <s v=" CEMENTOS Y CONCRETOS NACIONALES S.A. DE C.V."/>
        <s v=" MINA BOLAÑITOS S.A. DE C.V."/>
        <s v=" DANONE DE MEXICO S.A. DE C.V."/>
        <s v=" ROMANO MORENO RUBEN "/>
        <s v=" RUBEN ROMANO MORENO"/>
        <m/>
      </sharedItems>
    </cacheField>
    <cacheField name="Referencia" numFmtId="0">
      <sharedItems containsBlank="1"/>
    </cacheField>
    <cacheField name="Cargos" numFmtId="0">
      <sharedItems containsString="0" containsBlank="1" containsNumber="1" minValue="11368" maxValue="2385946.25"/>
    </cacheField>
    <cacheField name="Abonos" numFmtId="0">
      <sharedItems containsString="0" containsBlank="1" containsNumber="1" minValue="20996" maxValue="1244700.3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s v="05/Mar/2019"/>
    <s v="COBRO A CLIENTES"/>
    <n v="1"/>
    <x v="0"/>
    <s v="B 284"/>
    <m/>
    <n v="200000"/>
  </r>
  <r>
    <s v="06/Mar/2019"/>
    <s v="Ingresos"/>
    <n v="2"/>
    <x v="1"/>
    <s v="B 278"/>
    <n v="238825.44"/>
    <m/>
  </r>
  <r>
    <s v="06/Mar/2019"/>
    <s v="Ingresos"/>
    <n v="3"/>
    <x v="1"/>
    <s v="B 279"/>
    <n v="105908"/>
    <m/>
  </r>
  <r>
    <s v="06/Mar/2019"/>
    <s v="Ingresos"/>
    <n v="4"/>
    <x v="2"/>
    <s v="B 280"/>
    <n v="23756.799999999999"/>
    <m/>
  </r>
  <r>
    <s v="06/Mar/2019"/>
    <s v="Ingresos"/>
    <n v="5"/>
    <x v="2"/>
    <s v="B 281"/>
    <n v="35635.199999999997"/>
    <m/>
  </r>
  <r>
    <s v="06/Mar/2019"/>
    <s v="Ingresos"/>
    <n v="6"/>
    <x v="3"/>
    <s v="B 282"/>
    <n v="202788.97"/>
    <m/>
  </r>
  <r>
    <s v="06/Mar/2019"/>
    <s v="Ingresos"/>
    <n v="7"/>
    <x v="4"/>
    <s v="B 283"/>
    <n v="11368"/>
    <m/>
  </r>
  <r>
    <s v="06/Mar/2019"/>
    <s v="Ingresos"/>
    <n v="8"/>
    <x v="0"/>
    <s v="B 284"/>
    <n v="200000"/>
    <m/>
  </r>
  <r>
    <s v="08/Mar/2019"/>
    <s v="Ingresos"/>
    <n v="9"/>
    <x v="5"/>
    <s v="B 285"/>
    <n v="279542.43"/>
    <m/>
  </r>
  <r>
    <s v="08/Mar/2019"/>
    <s v="Ingresos"/>
    <n v="10"/>
    <x v="5"/>
    <s v="B 286"/>
    <n v="66014.210000000006"/>
    <m/>
  </r>
  <r>
    <s v="08/Mar/2019"/>
    <s v="COBRO A CLIENTES"/>
    <n v="2"/>
    <x v="6"/>
    <s v="B 262"/>
    <m/>
    <n v="78033.2"/>
  </r>
  <r>
    <s v="08/Mar/2019"/>
    <s v="COBRO A CLIENTES"/>
    <n v="2"/>
    <x v="6"/>
    <s v="B 263"/>
    <m/>
    <n v="245224"/>
  </r>
  <r>
    <s v="08/Mar/2019"/>
    <s v="COBRO A CLIENTES"/>
    <n v="2"/>
    <x v="6"/>
    <s v="B 265"/>
    <m/>
    <n v="64728"/>
  </r>
  <r>
    <s v="08/Mar/2019"/>
    <s v="COBRO A CLIENTES"/>
    <n v="2"/>
    <x v="6"/>
    <s v="B 266"/>
    <m/>
    <n v="20996"/>
  </r>
  <r>
    <s v="14/Mar/2019"/>
    <s v="Ingresos"/>
    <n v="11"/>
    <x v="7"/>
    <s v="B 287"/>
    <n v="34924"/>
    <m/>
  </r>
  <r>
    <s v="14/Mar/2019"/>
    <s v="Ingresos"/>
    <n v="12"/>
    <x v="8"/>
    <s v="B 288"/>
    <n v="45356"/>
    <m/>
  </r>
  <r>
    <s v="15/Mar/2019"/>
    <s v="Ingresos"/>
    <n v="13"/>
    <x v="1"/>
    <s v="B 289"/>
    <n v="54891.199999999997"/>
    <m/>
  </r>
  <r>
    <s v="15/Mar/2019"/>
    <s v="COBRO A CLIENTES"/>
    <n v="3"/>
    <x v="9"/>
    <s v="B273"/>
    <m/>
    <n v="48511.199999999997"/>
  </r>
  <r>
    <s v="19/Mar/2019"/>
    <s v="Ingresos"/>
    <n v="14"/>
    <x v="10"/>
    <s v="B 290"/>
    <n v="169360"/>
    <m/>
  </r>
  <r>
    <s v="21/Mar/2019"/>
    <s v="COBRO A CLIENTES"/>
    <n v="4"/>
    <x v="11"/>
    <s v="B 291"/>
    <m/>
    <n v="291450"/>
  </r>
  <r>
    <s v="22/Mar/2019"/>
    <s v="Ingresos"/>
    <n v="15"/>
    <x v="12"/>
    <s v="B 291"/>
    <n v="291450"/>
    <m/>
  </r>
  <r>
    <s v="22/Mar/2019"/>
    <s v="Ingresos"/>
    <n v="16"/>
    <x v="12"/>
    <s v="B 292"/>
    <n v="95758"/>
    <m/>
  </r>
  <r>
    <s v="22/Mar/2019"/>
    <s v="Ingresos"/>
    <n v="17"/>
    <x v="1"/>
    <s v="B 293"/>
    <n v="330368"/>
    <m/>
  </r>
  <r>
    <s v="25/Mar/2019"/>
    <s v="COBRO A CLIENTES"/>
    <n v="5"/>
    <x v="11"/>
    <s v="B 292"/>
    <m/>
    <n v="95758"/>
  </r>
  <r>
    <s v="29/Mar/2019"/>
    <s v="COBRO A CLIENTES"/>
    <n v="6"/>
    <x v="0"/>
    <s v="B 299"/>
    <m/>
    <n v="200000"/>
  </r>
  <r>
    <s v="30/Mar/2019"/>
    <s v="Ingresos"/>
    <n v="22"/>
    <x v="0"/>
    <s v="B 299"/>
    <n v="200000"/>
    <m/>
  </r>
  <r>
    <m/>
    <m/>
    <m/>
    <x v="13"/>
    <s v="Total:"/>
    <n v="2385946.25"/>
    <n v="1244700.3999999999"/>
  </r>
  <r>
    <s v=" "/>
    <m/>
    <m/>
    <x v="13"/>
    <m/>
    <m/>
    <m/>
  </r>
  <r>
    <s v=" "/>
    <m/>
    <m/>
    <x v="13"/>
    <m/>
    <m/>
    <m/>
  </r>
  <r>
    <m/>
    <m/>
    <m/>
    <x v="13"/>
    <m/>
    <m/>
    <m/>
  </r>
  <r>
    <m/>
    <m/>
    <m/>
    <x v="13"/>
    <s v="T o t a l: "/>
    <n v="2385946.25"/>
    <n v="1244700.3999999999"/>
  </r>
  <r>
    <s v=" "/>
    <m/>
    <m/>
    <x v="13"/>
    <m/>
    <m/>
    <m/>
  </r>
  <r>
    <m/>
    <m/>
    <m/>
    <x v="1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ListaDeMovimientos1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outline="1" outlineData="1" multipleFieldFilters="0">
  <location ref="A3:C19" firstHeaderRow="1" firstDataRow="2" firstDataCol="1"/>
  <pivotFields count="7">
    <pivotField showAll="0"/>
    <pivotField showAll="0"/>
    <pivotField showAll="0"/>
    <pivotField axis="axisRow" showAll="0">
      <items count="15">
        <item x="8"/>
        <item x="0"/>
        <item x="10"/>
        <item x="7"/>
        <item x="6"/>
        <item x="2"/>
        <item x="9"/>
        <item x="4"/>
        <item x="11"/>
        <item x="12"/>
        <item x="5"/>
        <item x="1"/>
        <item x="3"/>
        <item x="13"/>
        <item t="default"/>
      </items>
    </pivotField>
    <pivotField showAll="0"/>
    <pivotField dataField="1" showAll="0"/>
    <pivotField dataField="1" showAll="0"/>
  </pivotFields>
  <rowFields count="1">
    <field x="3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argos" fld="5" baseField="0" baseItem="0" numFmtId="3"/>
    <dataField name="Suma de Abonos" fld="6" baseField="0" baseItem="0" numFmtId="3"/>
  </dataFields>
  <formats count="24">
    <format dxfId="24">
      <pivotArea dataOnly="0" labelOnly="1" fieldPosition="0">
        <references count="1">
          <reference field="3" count="1">
            <x v="0"/>
          </reference>
        </references>
      </pivotArea>
    </format>
    <format dxfId="23">
      <pivotArea dataOnly="0" labelOnly="1" fieldPosition="0">
        <references count="1">
          <reference field="3" count="1">
            <x v="1"/>
          </reference>
        </references>
      </pivotArea>
    </format>
    <format dxfId="22">
      <pivotArea dataOnly="0" labelOnly="1" fieldPosition="0">
        <references count="1">
          <reference field="3" count="1">
            <x v="2"/>
          </reference>
        </references>
      </pivotArea>
    </format>
    <format dxfId="21">
      <pivotArea dataOnly="0" labelOnly="1" fieldPosition="0">
        <references count="1">
          <reference field="3" count="1">
            <x v="3"/>
          </reference>
        </references>
      </pivotArea>
    </format>
    <format dxfId="20">
      <pivotArea dataOnly="0" labelOnly="1" fieldPosition="0">
        <references count="1">
          <reference field="3" count="1">
            <x v="4"/>
          </reference>
        </references>
      </pivotArea>
    </format>
    <format dxfId="19">
      <pivotArea dataOnly="0" labelOnly="1" fieldPosition="0">
        <references count="1">
          <reference field="3" count="1">
            <x v="5"/>
          </reference>
        </references>
      </pivotArea>
    </format>
    <format dxfId="18">
      <pivotArea dataOnly="0" labelOnly="1" fieldPosition="0">
        <references count="1">
          <reference field="3" count="1">
            <x v="6"/>
          </reference>
        </references>
      </pivotArea>
    </format>
    <format dxfId="17">
      <pivotArea dataOnly="0" labelOnly="1" fieldPosition="0">
        <references count="1">
          <reference field="3" count="1">
            <x v="7"/>
          </reference>
        </references>
      </pivotArea>
    </format>
    <format dxfId="16">
      <pivotArea dataOnly="0" labelOnly="1" fieldPosition="0">
        <references count="1">
          <reference field="3" count="1">
            <x v="8"/>
          </reference>
        </references>
      </pivotArea>
    </format>
    <format dxfId="15">
      <pivotArea dataOnly="0" labelOnly="1" fieldPosition="0">
        <references count="1">
          <reference field="3" count="1">
            <x v="9"/>
          </reference>
        </references>
      </pivotArea>
    </format>
    <format dxfId="14">
      <pivotArea dataOnly="0" labelOnly="1" fieldPosition="0">
        <references count="1">
          <reference field="3" count="1">
            <x v="10"/>
          </reference>
        </references>
      </pivotArea>
    </format>
    <format dxfId="13">
      <pivotArea dataOnly="0" labelOnly="1" fieldPosition="0">
        <references count="1">
          <reference field="3" count="1">
            <x v="11"/>
          </reference>
        </references>
      </pivotArea>
    </format>
    <format dxfId="12">
      <pivotArea dataOnly="0" labelOnly="1" fieldPosition="0">
        <references count="1">
          <reference field="3" count="1">
            <x v="12"/>
          </reference>
        </references>
      </pivotArea>
    </format>
    <format dxfId="11">
      <pivotArea dataOnly="0" labelOnly="1" fieldPosition="0">
        <references count="1">
          <reference field="3" count="1">
            <x v="13"/>
          </reference>
        </references>
      </pivotArea>
    </format>
    <format dxfId="10">
      <pivotArea dataOnly="0" labelOnly="1" grandRow="1" outline="0" fieldPosition="0"/>
    </format>
    <format dxfId="9">
      <pivotArea dataOnly="0" labelOnly="1" fieldPosition="0">
        <references count="1">
          <reference field="3" count="1">
            <x v="0"/>
          </reference>
        </references>
      </pivotArea>
    </format>
    <format dxfId="8">
      <pivotArea dataOnly="0" labelOnly="1" fieldPosition="0">
        <references count="1">
          <reference field="3" count="1">
            <x v="2"/>
          </reference>
        </references>
      </pivotArea>
    </format>
    <format dxfId="7">
      <pivotArea dataOnly="0" labelOnly="1" fieldPosition="0">
        <references count="1">
          <reference field="3" count="1">
            <x v="3"/>
          </reference>
        </references>
      </pivotArea>
    </format>
    <format dxfId="6">
      <pivotArea dataOnly="0" labelOnly="1" fieldPosition="0">
        <references count="1">
          <reference field="3" count="1">
            <x v="4"/>
          </reference>
        </references>
      </pivotArea>
    </format>
    <format dxfId="5">
      <pivotArea dataOnly="0" labelOnly="1" fieldPosition="0">
        <references count="1">
          <reference field="3" count="1">
            <x v="5"/>
          </reference>
        </references>
      </pivotArea>
    </format>
    <format dxfId="4">
      <pivotArea dataOnly="0" labelOnly="1" fieldPosition="0">
        <references count="1">
          <reference field="3" count="1">
            <x v="6"/>
          </reference>
        </references>
      </pivotArea>
    </format>
    <format dxfId="3">
      <pivotArea dataOnly="0" labelOnly="1" fieldPosition="0">
        <references count="1">
          <reference field="3" count="1">
            <x v="11"/>
          </reference>
        </references>
      </pivotArea>
    </format>
    <format dxfId="2">
      <pivotArea dataOnly="0" labelOnly="1" grandRow="1" outline="0" fieldPosition="0"/>
    </format>
    <format dxfId="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a2" displayName="Tabla2" ref="A3:H4" totalsRowShown="0">
  <autoFilter ref="A3:H4"/>
  <tableColumns count="8">
    <tableColumn id="1" name="Fecha"/>
    <tableColumn id="2" name="Tipo"/>
    <tableColumn id="3" name="Número "/>
    <tableColumn id="4" name="Concepto"/>
    <tableColumn id="5" name="Referencia"/>
    <tableColumn id="6" name="Cargos"/>
    <tableColumn id="7" name="Abonos"/>
    <tableColumn id="8" name="Saldo">
      <calculatedColumnFormula>Tabla2[Cargos]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3" displayName="Tabla3" ref="A3:H5" totalsRowShown="0">
  <autoFilter ref="A3:H5"/>
  <tableColumns count="8">
    <tableColumn id="1" name="Fecha"/>
    <tableColumn id="2" name="Tipo"/>
    <tableColumn id="3" name="Número "/>
    <tableColumn id="4" name="Concepto"/>
    <tableColumn id="5" name="Referencia"/>
    <tableColumn id="6" name="Cargos"/>
    <tableColumn id="7" name="Abonos"/>
    <tableColumn id="8" name="Saldo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4" displayName="Tabla4" ref="A3:H4" totalsRowShown="0">
  <autoFilter ref="A3:H4"/>
  <tableColumns count="8">
    <tableColumn id="1" name="Fecha"/>
    <tableColumn id="2" name="Tipo"/>
    <tableColumn id="3" name="Número "/>
    <tableColumn id="4" name="Concepto"/>
    <tableColumn id="5" name="Referencia"/>
    <tableColumn id="6" name="Cargos"/>
    <tableColumn id="7" name="Abonos"/>
    <tableColumn id="8" name="Saldo">
      <calculatedColumnFormula>Tabla4[Cargos]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19"/>
  <sheetViews>
    <sheetView workbookViewId="0">
      <selection activeCell="B17" sqref="B17"/>
    </sheetView>
  </sheetViews>
  <sheetFormatPr baseColWidth="10" defaultRowHeight="12.75" x14ac:dyDescent="0.2"/>
  <cols>
    <col min="1" max="1" width="67.7109375" bestFit="1" customWidth="1"/>
    <col min="2" max="2" width="16.140625" customWidth="1"/>
    <col min="3" max="3" width="16.5703125" customWidth="1"/>
    <col min="4" max="4" width="19.85546875" bestFit="1" customWidth="1"/>
    <col min="6" max="6" width="18.140625" bestFit="1" customWidth="1"/>
    <col min="8" max="8" width="24.7109375" bestFit="1" customWidth="1"/>
  </cols>
  <sheetData>
    <row r="1" spans="1:8" x14ac:dyDescent="0.2">
      <c r="H1" t="s">
        <v>275</v>
      </c>
    </row>
    <row r="2" spans="1:8" x14ac:dyDescent="0.2">
      <c r="H2" t="s">
        <v>276</v>
      </c>
    </row>
    <row r="3" spans="1:8" x14ac:dyDescent="0.2">
      <c r="B3" s="105" t="s">
        <v>271</v>
      </c>
      <c r="H3" t="s">
        <v>277</v>
      </c>
    </row>
    <row r="4" spans="1:8" x14ac:dyDescent="0.2">
      <c r="A4" s="105" t="s">
        <v>267</v>
      </c>
      <c r="B4" s="90" t="s">
        <v>272</v>
      </c>
      <c r="C4" s="90" t="s">
        <v>270</v>
      </c>
      <c r="H4" t="s">
        <v>278</v>
      </c>
    </row>
    <row r="5" spans="1:8" x14ac:dyDescent="0.2">
      <c r="A5" s="108" t="s">
        <v>129</v>
      </c>
      <c r="B5" s="106">
        <v>45356</v>
      </c>
      <c r="C5" s="106"/>
      <c r="D5" t="s">
        <v>273</v>
      </c>
      <c r="F5" t="s">
        <v>293</v>
      </c>
      <c r="H5" t="s">
        <v>279</v>
      </c>
    </row>
    <row r="6" spans="1:8" x14ac:dyDescent="0.2">
      <c r="A6" s="107" t="s">
        <v>235</v>
      </c>
      <c r="B6" s="106">
        <v>400000</v>
      </c>
      <c r="C6" s="106">
        <v>400000</v>
      </c>
      <c r="D6" t="s">
        <v>274</v>
      </c>
      <c r="F6" t="s">
        <v>292</v>
      </c>
      <c r="H6" t="s">
        <v>280</v>
      </c>
    </row>
    <row r="7" spans="1:8" x14ac:dyDescent="0.2">
      <c r="A7" s="108" t="s">
        <v>191</v>
      </c>
      <c r="B7" s="106">
        <v>169360</v>
      </c>
      <c r="C7" s="106"/>
      <c r="D7" t="s">
        <v>273</v>
      </c>
      <c r="F7" t="s">
        <v>293</v>
      </c>
      <c r="H7" t="s">
        <v>281</v>
      </c>
    </row>
    <row r="8" spans="1:8" x14ac:dyDescent="0.2">
      <c r="A8" s="108" t="s">
        <v>149</v>
      </c>
      <c r="B8" s="106">
        <v>34924</v>
      </c>
      <c r="C8" s="106"/>
      <c r="D8" t="s">
        <v>273</v>
      </c>
      <c r="F8" t="s">
        <v>293</v>
      </c>
      <c r="H8" t="s">
        <v>282</v>
      </c>
    </row>
    <row r="9" spans="1:8" x14ac:dyDescent="0.2">
      <c r="A9" s="108" t="s">
        <v>172</v>
      </c>
      <c r="B9" s="106"/>
      <c r="C9" s="106">
        <v>408981.2</v>
      </c>
      <c r="D9" t="s">
        <v>273</v>
      </c>
      <c r="F9" t="s">
        <v>293</v>
      </c>
      <c r="H9" t="s">
        <v>283</v>
      </c>
    </row>
    <row r="10" spans="1:8" x14ac:dyDescent="0.2">
      <c r="A10" s="108" t="s">
        <v>183</v>
      </c>
      <c r="B10" s="106">
        <v>59392</v>
      </c>
      <c r="C10" s="106"/>
      <c r="D10" t="s">
        <v>273</v>
      </c>
      <c r="F10" t="s">
        <v>293</v>
      </c>
      <c r="H10" t="s">
        <v>284</v>
      </c>
    </row>
    <row r="11" spans="1:8" x14ac:dyDescent="0.2">
      <c r="A11" s="108" t="s">
        <v>217</v>
      </c>
      <c r="B11" s="106"/>
      <c r="C11" s="106">
        <v>48511.199999999997</v>
      </c>
      <c r="D11" t="s">
        <v>273</v>
      </c>
      <c r="F11" t="s">
        <v>293</v>
      </c>
      <c r="H11" t="s">
        <v>285</v>
      </c>
    </row>
    <row r="12" spans="1:8" x14ac:dyDescent="0.2">
      <c r="A12" s="107" t="s">
        <v>244</v>
      </c>
      <c r="B12" s="106">
        <v>11368</v>
      </c>
      <c r="C12" s="106"/>
      <c r="D12" t="s">
        <v>273</v>
      </c>
      <c r="F12" t="s">
        <v>292</v>
      </c>
      <c r="H12" t="s">
        <v>286</v>
      </c>
    </row>
    <row r="13" spans="1:8" x14ac:dyDescent="0.2">
      <c r="A13" s="107" t="s">
        <v>152</v>
      </c>
      <c r="B13" s="106"/>
      <c r="C13" s="106">
        <v>387208</v>
      </c>
      <c r="D13" t="s">
        <v>273</v>
      </c>
      <c r="F13" t="s">
        <v>292</v>
      </c>
      <c r="H13" t="s">
        <v>287</v>
      </c>
    </row>
    <row r="14" spans="1:8" x14ac:dyDescent="0.2">
      <c r="A14" s="107" t="s">
        <v>9</v>
      </c>
      <c r="B14" s="106">
        <v>387208</v>
      </c>
      <c r="C14" s="106"/>
      <c r="D14" t="s">
        <v>273</v>
      </c>
      <c r="F14" t="s">
        <v>292</v>
      </c>
      <c r="H14" t="s">
        <v>288</v>
      </c>
    </row>
    <row r="15" spans="1:8" x14ac:dyDescent="0.2">
      <c r="A15" s="107" t="s">
        <v>247</v>
      </c>
      <c r="B15" s="106">
        <v>345556.64</v>
      </c>
      <c r="C15" s="106"/>
      <c r="D15" t="s">
        <v>273</v>
      </c>
      <c r="F15" t="s">
        <v>292</v>
      </c>
      <c r="H15" t="s">
        <v>289</v>
      </c>
    </row>
    <row r="16" spans="1:8" x14ac:dyDescent="0.2">
      <c r="A16" s="108" t="s">
        <v>12</v>
      </c>
      <c r="B16" s="106">
        <v>729992.64</v>
      </c>
      <c r="C16" s="106"/>
      <c r="D16" t="s">
        <v>273</v>
      </c>
      <c r="F16" t="s">
        <v>293</v>
      </c>
      <c r="H16" t="s">
        <v>290</v>
      </c>
    </row>
    <row r="17" spans="1:8" x14ac:dyDescent="0.2">
      <c r="A17" s="107" t="s">
        <v>242</v>
      </c>
      <c r="B17" s="106">
        <v>202788.97</v>
      </c>
      <c r="C17" s="106"/>
      <c r="D17" t="s">
        <v>273</v>
      </c>
      <c r="F17" t="s">
        <v>292</v>
      </c>
      <c r="H17" t="s">
        <v>291</v>
      </c>
    </row>
    <row r="18" spans="1:8" x14ac:dyDescent="0.2">
      <c r="A18" s="107" t="s">
        <v>268</v>
      </c>
      <c r="B18" s="106">
        <v>4771892.5</v>
      </c>
      <c r="C18" s="106">
        <v>2489400.7999999998</v>
      </c>
      <c r="D18" t="s">
        <v>273</v>
      </c>
      <c r="F18" t="s">
        <v>292</v>
      </c>
    </row>
    <row r="19" spans="1:8" x14ac:dyDescent="0.2">
      <c r="A19" s="109" t="s">
        <v>269</v>
      </c>
      <c r="B19" s="106">
        <v>7157838.75</v>
      </c>
      <c r="C19" s="106">
        <v>3734101.1999999997</v>
      </c>
      <c r="D19" t="s">
        <v>273</v>
      </c>
      <c r="F19" t="s">
        <v>292</v>
      </c>
    </row>
  </sheetData>
  <autoFilter ref="D4:F1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39"/>
  <sheetViews>
    <sheetView workbookViewId="0">
      <selection activeCell="J19" sqref="J19"/>
    </sheetView>
  </sheetViews>
  <sheetFormatPr baseColWidth="10" defaultRowHeight="12.75" x14ac:dyDescent="0.2"/>
  <cols>
    <col min="4" max="4" width="61.140625" bestFit="1" customWidth="1"/>
    <col min="10" max="10" width="51.140625" bestFit="1" customWidth="1"/>
  </cols>
  <sheetData>
    <row r="1" spans="1:10" ht="15" x14ac:dyDescent="0.2">
      <c r="A1" s="91" t="s">
        <v>51</v>
      </c>
      <c r="B1" s="90"/>
      <c r="C1" s="90"/>
      <c r="D1" s="92" t="s">
        <v>52</v>
      </c>
      <c r="E1" s="90"/>
      <c r="F1" s="90"/>
      <c r="G1" s="90"/>
      <c r="H1" s="93" t="s">
        <v>53</v>
      </c>
    </row>
    <row r="2" spans="1:10" ht="15" x14ac:dyDescent="0.2">
      <c r="A2" s="92" t="s">
        <v>54</v>
      </c>
      <c r="B2" s="90"/>
      <c r="C2" s="90"/>
      <c r="D2" s="90"/>
      <c r="E2" s="90"/>
      <c r="F2" s="90"/>
      <c r="G2" s="90"/>
      <c r="H2" s="93" t="s">
        <v>232</v>
      </c>
    </row>
    <row r="3" spans="1:10" ht="15" x14ac:dyDescent="0.2">
      <c r="A3" s="92" t="s">
        <v>233</v>
      </c>
      <c r="B3" s="90"/>
      <c r="C3" s="90"/>
      <c r="D3" s="90"/>
      <c r="E3" s="90"/>
      <c r="F3" s="90"/>
      <c r="G3" s="90"/>
      <c r="H3" s="90"/>
    </row>
    <row r="4" spans="1:10" ht="15" x14ac:dyDescent="0.2">
      <c r="A4" s="92" t="s">
        <v>55</v>
      </c>
      <c r="B4" s="90"/>
      <c r="C4" s="90"/>
      <c r="D4" s="90"/>
      <c r="E4" s="90"/>
      <c r="F4" s="90"/>
      <c r="G4" s="90"/>
      <c r="H4" s="90"/>
    </row>
    <row r="5" spans="1:10" x14ac:dyDescent="0.2">
      <c r="A5" s="94"/>
      <c r="B5" s="94"/>
      <c r="C5" s="94"/>
      <c r="D5" s="94"/>
      <c r="E5" s="94"/>
      <c r="F5" s="94"/>
      <c r="G5" s="94"/>
      <c r="H5" s="94"/>
    </row>
    <row r="6" spans="1:10" x14ac:dyDescent="0.2">
      <c r="A6" s="98" t="s">
        <v>56</v>
      </c>
      <c r="B6" s="98" t="s">
        <v>57</v>
      </c>
      <c r="C6" s="95"/>
      <c r="D6" s="95"/>
      <c r="E6" s="95"/>
      <c r="F6" s="95"/>
      <c r="G6" s="99" t="s">
        <v>58</v>
      </c>
      <c r="H6" s="100">
        <v>2350214.2400000002</v>
      </c>
    </row>
    <row r="7" spans="1:10" x14ac:dyDescent="0.2">
      <c r="A7" s="95" t="s">
        <v>0</v>
      </c>
      <c r="B7" s="95" t="s">
        <v>1</v>
      </c>
      <c r="C7" s="96" t="s">
        <v>2</v>
      </c>
      <c r="D7" s="97" t="s">
        <v>3</v>
      </c>
      <c r="E7" s="95" t="s">
        <v>4</v>
      </c>
      <c r="F7" s="96" t="s">
        <v>5</v>
      </c>
      <c r="G7" s="96" t="s">
        <v>6</v>
      </c>
      <c r="H7" s="96" t="s">
        <v>7</v>
      </c>
    </row>
    <row r="8" spans="1:10" x14ac:dyDescent="0.2">
      <c r="A8" s="101" t="s">
        <v>250</v>
      </c>
      <c r="B8" s="101" t="s">
        <v>8</v>
      </c>
      <c r="C8" s="102">
        <v>12</v>
      </c>
      <c r="D8" s="101" t="s">
        <v>129</v>
      </c>
      <c r="E8" s="101" t="s">
        <v>252</v>
      </c>
      <c r="F8" s="100">
        <v>45356</v>
      </c>
      <c r="G8" s="95"/>
      <c r="H8" s="100">
        <v>2985352.09</v>
      </c>
      <c r="J8" t="s">
        <v>129</v>
      </c>
    </row>
    <row r="9" spans="1:10" x14ac:dyDescent="0.2">
      <c r="A9" s="101" t="s">
        <v>234</v>
      </c>
      <c r="B9" s="101" t="s">
        <v>20</v>
      </c>
      <c r="C9" s="102">
        <v>1</v>
      </c>
      <c r="D9" s="101" t="s">
        <v>235</v>
      </c>
      <c r="E9" s="101" t="s">
        <v>236</v>
      </c>
      <c r="F9" s="95"/>
      <c r="G9" s="100">
        <v>200000</v>
      </c>
      <c r="H9" s="100">
        <v>2150214.2400000002</v>
      </c>
      <c r="J9" t="s">
        <v>191</v>
      </c>
    </row>
    <row r="10" spans="1:10" x14ac:dyDescent="0.2">
      <c r="A10" s="101" t="s">
        <v>237</v>
      </c>
      <c r="B10" s="101" t="s">
        <v>8</v>
      </c>
      <c r="C10" s="102">
        <v>8</v>
      </c>
      <c r="D10" s="101" t="s">
        <v>235</v>
      </c>
      <c r="E10" s="101" t="s">
        <v>236</v>
      </c>
      <c r="F10" s="100">
        <v>200000</v>
      </c>
      <c r="G10" s="95"/>
      <c r="H10" s="100">
        <v>2968496.65</v>
      </c>
      <c r="J10" t="s">
        <v>149</v>
      </c>
    </row>
    <row r="11" spans="1:10" x14ac:dyDescent="0.2">
      <c r="A11" s="101" t="s">
        <v>264</v>
      </c>
      <c r="B11" s="101" t="s">
        <v>20</v>
      </c>
      <c r="C11" s="102">
        <v>6</v>
      </c>
      <c r="D11" s="101" t="s">
        <v>235</v>
      </c>
      <c r="E11" s="101" t="s">
        <v>265</v>
      </c>
      <c r="F11" s="95"/>
      <c r="G11" s="100">
        <v>200000</v>
      </c>
      <c r="H11" s="100">
        <v>3291460.09</v>
      </c>
      <c r="J11" t="s">
        <v>172</v>
      </c>
    </row>
    <row r="12" spans="1:10" x14ac:dyDescent="0.2">
      <c r="A12" s="101" t="s">
        <v>266</v>
      </c>
      <c r="B12" s="101" t="s">
        <v>8</v>
      </c>
      <c r="C12" s="102">
        <v>22</v>
      </c>
      <c r="D12" s="101" t="s">
        <v>235</v>
      </c>
      <c r="E12" s="101" t="s">
        <v>265</v>
      </c>
      <c r="F12" s="100">
        <v>200000</v>
      </c>
      <c r="G12" s="95"/>
      <c r="H12" s="100">
        <v>3491460.09</v>
      </c>
      <c r="J12" t="s">
        <v>183</v>
      </c>
    </row>
    <row r="13" spans="1:10" x14ac:dyDescent="0.2">
      <c r="A13" s="101" t="s">
        <v>256</v>
      </c>
      <c r="B13" s="101" t="s">
        <v>8</v>
      </c>
      <c r="C13" s="102">
        <v>14</v>
      </c>
      <c r="D13" s="101" t="s">
        <v>191</v>
      </c>
      <c r="E13" s="101" t="s">
        <v>257</v>
      </c>
      <c r="F13" s="100">
        <v>169360</v>
      </c>
      <c r="G13" s="95"/>
      <c r="H13" s="100">
        <v>3161092.09</v>
      </c>
      <c r="J13" t="s">
        <v>217</v>
      </c>
    </row>
    <row r="14" spans="1:10" x14ac:dyDescent="0.2">
      <c r="A14" s="101" t="s">
        <v>250</v>
      </c>
      <c r="B14" s="101" t="s">
        <v>8</v>
      </c>
      <c r="C14" s="102">
        <v>11</v>
      </c>
      <c r="D14" s="101" t="s">
        <v>149</v>
      </c>
      <c r="E14" s="101" t="s">
        <v>251</v>
      </c>
      <c r="F14" s="100">
        <v>34924</v>
      </c>
      <c r="G14" s="95"/>
      <c r="H14" s="100">
        <v>2939996.09</v>
      </c>
      <c r="J14" t="s">
        <v>12</v>
      </c>
    </row>
    <row r="15" spans="1:10" x14ac:dyDescent="0.2">
      <c r="A15" s="101" t="s">
        <v>246</v>
      </c>
      <c r="B15" s="101" t="s">
        <v>20</v>
      </c>
      <c r="C15" s="102">
        <v>2</v>
      </c>
      <c r="D15" s="101" t="s">
        <v>172</v>
      </c>
      <c r="E15" s="101" t="s">
        <v>198</v>
      </c>
      <c r="F15" s="95"/>
      <c r="G15" s="100">
        <v>78033.2</v>
      </c>
      <c r="H15" s="100">
        <v>3236020.09</v>
      </c>
    </row>
    <row r="16" spans="1:10" x14ac:dyDescent="0.2">
      <c r="A16" s="101" t="s">
        <v>246</v>
      </c>
      <c r="B16" s="101" t="s">
        <v>20</v>
      </c>
      <c r="C16" s="102">
        <v>2</v>
      </c>
      <c r="D16" s="101" t="s">
        <v>172</v>
      </c>
      <c r="E16" s="101" t="s">
        <v>199</v>
      </c>
      <c r="F16" s="95"/>
      <c r="G16" s="100">
        <v>245224</v>
      </c>
      <c r="H16" s="100">
        <v>2990796.09</v>
      </c>
    </row>
    <row r="17" spans="1:8" x14ac:dyDescent="0.2">
      <c r="A17" s="101" t="s">
        <v>246</v>
      </c>
      <c r="B17" s="101" t="s">
        <v>20</v>
      </c>
      <c r="C17" s="102">
        <v>2</v>
      </c>
      <c r="D17" s="101" t="s">
        <v>172</v>
      </c>
      <c r="E17" s="101" t="s">
        <v>201</v>
      </c>
      <c r="F17" s="95"/>
      <c r="G17" s="100">
        <v>64728</v>
      </c>
      <c r="H17" s="100">
        <v>2926068.09</v>
      </c>
    </row>
    <row r="18" spans="1:8" x14ac:dyDescent="0.2">
      <c r="A18" s="101" t="s">
        <v>246</v>
      </c>
      <c r="B18" s="101" t="s">
        <v>20</v>
      </c>
      <c r="C18" s="102">
        <v>2</v>
      </c>
      <c r="D18" s="101" t="s">
        <v>172</v>
      </c>
      <c r="E18" s="101" t="s">
        <v>202</v>
      </c>
      <c r="F18" s="95"/>
      <c r="G18" s="100">
        <v>20996</v>
      </c>
      <c r="H18" s="100">
        <v>2905072.09</v>
      </c>
    </row>
    <row r="19" spans="1:8" x14ac:dyDescent="0.2">
      <c r="A19" s="101" t="s">
        <v>237</v>
      </c>
      <c r="B19" s="101" t="s">
        <v>8</v>
      </c>
      <c r="C19" s="102">
        <v>4</v>
      </c>
      <c r="D19" s="101" t="s">
        <v>183</v>
      </c>
      <c r="E19" s="101" t="s">
        <v>240</v>
      </c>
      <c r="F19" s="100">
        <v>23756.799999999999</v>
      </c>
      <c r="G19" s="95"/>
      <c r="H19" s="100">
        <v>2518704.48</v>
      </c>
    </row>
    <row r="20" spans="1:8" x14ac:dyDescent="0.2">
      <c r="A20" s="101" t="s">
        <v>237</v>
      </c>
      <c r="B20" s="101" t="s">
        <v>8</v>
      </c>
      <c r="C20" s="102">
        <v>5</v>
      </c>
      <c r="D20" s="101" t="s">
        <v>183</v>
      </c>
      <c r="E20" s="101" t="s">
        <v>241</v>
      </c>
      <c r="F20" s="100">
        <v>35635.199999999997</v>
      </c>
      <c r="G20" s="95"/>
      <c r="H20" s="100">
        <v>2554339.6800000002</v>
      </c>
    </row>
    <row r="21" spans="1:8" x14ac:dyDescent="0.2">
      <c r="A21" s="101" t="s">
        <v>253</v>
      </c>
      <c r="B21" s="101" t="s">
        <v>20</v>
      </c>
      <c r="C21" s="102">
        <v>3</v>
      </c>
      <c r="D21" s="101" t="s">
        <v>217</v>
      </c>
      <c r="E21" s="101" t="s">
        <v>255</v>
      </c>
      <c r="F21" s="95"/>
      <c r="G21" s="100">
        <v>48511.199999999997</v>
      </c>
      <c r="H21" s="100">
        <v>2991732.09</v>
      </c>
    </row>
    <row r="22" spans="1:8" x14ac:dyDescent="0.2">
      <c r="A22" s="101" t="s">
        <v>237</v>
      </c>
      <c r="B22" s="101" t="s">
        <v>8</v>
      </c>
      <c r="C22" s="102">
        <v>7</v>
      </c>
      <c r="D22" s="101" t="s">
        <v>244</v>
      </c>
      <c r="E22" s="101" t="s">
        <v>245</v>
      </c>
      <c r="F22" s="100">
        <v>11368</v>
      </c>
      <c r="G22" s="95"/>
      <c r="H22" s="100">
        <v>2768496.65</v>
      </c>
    </row>
    <row r="23" spans="1:8" x14ac:dyDescent="0.2">
      <c r="A23" s="101" t="s">
        <v>258</v>
      </c>
      <c r="B23" s="101" t="s">
        <v>20</v>
      </c>
      <c r="C23" s="102">
        <v>4</v>
      </c>
      <c r="D23" s="101" t="s">
        <v>152</v>
      </c>
      <c r="E23" s="101" t="s">
        <v>259</v>
      </c>
      <c r="F23" s="95"/>
      <c r="G23" s="100">
        <v>291450</v>
      </c>
      <c r="H23" s="100">
        <v>2869642.09</v>
      </c>
    </row>
    <row r="24" spans="1:8" x14ac:dyDescent="0.2">
      <c r="A24" s="101" t="s">
        <v>263</v>
      </c>
      <c r="B24" s="101" t="s">
        <v>20</v>
      </c>
      <c r="C24" s="102">
        <v>5</v>
      </c>
      <c r="D24" s="101" t="s">
        <v>152</v>
      </c>
      <c r="E24" s="101" t="s">
        <v>261</v>
      </c>
      <c r="F24" s="95"/>
      <c r="G24" s="100">
        <v>95758</v>
      </c>
      <c r="H24" s="100">
        <v>3491460.09</v>
      </c>
    </row>
    <row r="25" spans="1:8" x14ac:dyDescent="0.2">
      <c r="A25" s="101" t="s">
        <v>260</v>
      </c>
      <c r="B25" s="101" t="s">
        <v>8</v>
      </c>
      <c r="C25" s="102">
        <v>15</v>
      </c>
      <c r="D25" s="101" t="s">
        <v>9</v>
      </c>
      <c r="E25" s="101" t="s">
        <v>259</v>
      </c>
      <c r="F25" s="100">
        <v>291450</v>
      </c>
      <c r="G25" s="95"/>
      <c r="H25" s="100">
        <v>3161092.09</v>
      </c>
    </row>
    <row r="26" spans="1:8" x14ac:dyDescent="0.2">
      <c r="A26" s="101" t="s">
        <v>260</v>
      </c>
      <c r="B26" s="101" t="s">
        <v>8</v>
      </c>
      <c r="C26" s="102">
        <v>16</v>
      </c>
      <c r="D26" s="101" t="s">
        <v>9</v>
      </c>
      <c r="E26" s="101" t="s">
        <v>261</v>
      </c>
      <c r="F26" s="100">
        <v>95758</v>
      </c>
      <c r="G26" s="95"/>
      <c r="H26" s="100">
        <v>3256850.09</v>
      </c>
    </row>
    <row r="27" spans="1:8" x14ac:dyDescent="0.2">
      <c r="A27" s="101" t="s">
        <v>246</v>
      </c>
      <c r="B27" s="101" t="s">
        <v>8</v>
      </c>
      <c r="C27" s="102">
        <v>9</v>
      </c>
      <c r="D27" s="101" t="s">
        <v>247</v>
      </c>
      <c r="E27" s="101" t="s">
        <v>248</v>
      </c>
      <c r="F27" s="100">
        <v>279542.43</v>
      </c>
      <c r="G27" s="95"/>
      <c r="H27" s="100">
        <v>3248039.08</v>
      </c>
    </row>
    <row r="28" spans="1:8" x14ac:dyDescent="0.2">
      <c r="A28" s="101" t="s">
        <v>246</v>
      </c>
      <c r="B28" s="101" t="s">
        <v>8</v>
      </c>
      <c r="C28" s="102">
        <v>10</v>
      </c>
      <c r="D28" s="101" t="s">
        <v>247</v>
      </c>
      <c r="E28" s="101" t="s">
        <v>249</v>
      </c>
      <c r="F28" s="100">
        <v>66014.210000000006</v>
      </c>
      <c r="G28" s="95"/>
      <c r="H28" s="100">
        <v>3314053.29</v>
      </c>
    </row>
    <row r="29" spans="1:8" x14ac:dyDescent="0.2">
      <c r="A29" s="101" t="s">
        <v>237</v>
      </c>
      <c r="B29" s="101" t="s">
        <v>8</v>
      </c>
      <c r="C29" s="102">
        <v>2</v>
      </c>
      <c r="D29" s="101" t="s">
        <v>12</v>
      </c>
      <c r="E29" s="101" t="s">
        <v>238</v>
      </c>
      <c r="F29" s="100">
        <v>238825.44</v>
      </c>
      <c r="G29" s="95"/>
      <c r="H29" s="100">
        <v>2389039.6800000002</v>
      </c>
    </row>
    <row r="30" spans="1:8" x14ac:dyDescent="0.2">
      <c r="A30" s="101" t="s">
        <v>237</v>
      </c>
      <c r="B30" s="101" t="s">
        <v>8</v>
      </c>
      <c r="C30" s="102">
        <v>3</v>
      </c>
      <c r="D30" s="101" t="s">
        <v>12</v>
      </c>
      <c r="E30" s="101" t="s">
        <v>239</v>
      </c>
      <c r="F30" s="100">
        <v>105908</v>
      </c>
      <c r="G30" s="95"/>
      <c r="H30" s="100">
        <v>2494947.6800000002</v>
      </c>
    </row>
    <row r="31" spans="1:8" x14ac:dyDescent="0.2">
      <c r="A31" s="101" t="s">
        <v>253</v>
      </c>
      <c r="B31" s="101" t="s">
        <v>8</v>
      </c>
      <c r="C31" s="102">
        <v>13</v>
      </c>
      <c r="D31" s="101" t="s">
        <v>12</v>
      </c>
      <c r="E31" s="101" t="s">
        <v>254</v>
      </c>
      <c r="F31" s="100">
        <v>54891.199999999997</v>
      </c>
      <c r="G31" s="95"/>
      <c r="H31" s="100">
        <v>3040243.29</v>
      </c>
    </row>
    <row r="32" spans="1:8" x14ac:dyDescent="0.2">
      <c r="A32" s="101" t="s">
        <v>260</v>
      </c>
      <c r="B32" s="101" t="s">
        <v>8</v>
      </c>
      <c r="C32" s="102">
        <v>17</v>
      </c>
      <c r="D32" s="101" t="s">
        <v>12</v>
      </c>
      <c r="E32" s="101" t="s">
        <v>262</v>
      </c>
      <c r="F32" s="100">
        <v>330368</v>
      </c>
      <c r="G32" s="95"/>
      <c r="H32" s="100">
        <v>3587218.09</v>
      </c>
    </row>
    <row r="33" spans="1:8" x14ac:dyDescent="0.2">
      <c r="A33" s="101" t="s">
        <v>237</v>
      </c>
      <c r="B33" s="101" t="s">
        <v>8</v>
      </c>
      <c r="C33" s="102">
        <v>6</v>
      </c>
      <c r="D33" s="101" t="s">
        <v>242</v>
      </c>
      <c r="E33" s="101" t="s">
        <v>243</v>
      </c>
      <c r="F33" s="100">
        <v>202788.97</v>
      </c>
      <c r="G33" s="95"/>
      <c r="H33" s="100">
        <v>2757128.65</v>
      </c>
    </row>
    <row r="34" spans="1:8" x14ac:dyDescent="0.2">
      <c r="A34" s="95"/>
      <c r="B34" s="95"/>
      <c r="C34" s="95"/>
      <c r="D34" s="95"/>
      <c r="E34" s="99" t="s">
        <v>89</v>
      </c>
      <c r="F34" s="103">
        <v>2385946.25</v>
      </c>
      <c r="G34" s="103">
        <v>1244700.3999999999</v>
      </c>
      <c r="H34" s="103">
        <v>3491460.09</v>
      </c>
    </row>
    <row r="35" spans="1:8" x14ac:dyDescent="0.2">
      <c r="A35" s="95" t="s">
        <v>109</v>
      </c>
      <c r="B35" s="90"/>
      <c r="C35" s="90"/>
      <c r="D35" s="90"/>
      <c r="E35" s="90"/>
      <c r="F35" s="90"/>
      <c r="G35" s="90"/>
      <c r="H35" s="90"/>
    </row>
    <row r="36" spans="1:8" x14ac:dyDescent="0.2">
      <c r="A36" s="95" t="s">
        <v>109</v>
      </c>
      <c r="B36" s="90"/>
      <c r="C36" s="90"/>
      <c r="D36" s="90"/>
      <c r="E36" s="90"/>
      <c r="F36" s="90"/>
      <c r="G36" s="90"/>
      <c r="H36" s="90"/>
    </row>
    <row r="37" spans="1:8" x14ac:dyDescent="0.2">
      <c r="A37" s="94"/>
      <c r="B37" s="94"/>
      <c r="C37" s="94"/>
      <c r="D37" s="94"/>
      <c r="E37" s="90"/>
      <c r="F37" s="90"/>
      <c r="G37" s="90"/>
      <c r="H37" s="90"/>
    </row>
    <row r="38" spans="1:8" x14ac:dyDescent="0.2">
      <c r="A38" s="95"/>
      <c r="B38" s="95"/>
      <c r="C38" s="95"/>
      <c r="D38" s="95"/>
      <c r="E38" s="104" t="s">
        <v>203</v>
      </c>
      <c r="F38" s="103">
        <v>2385946.25</v>
      </c>
      <c r="G38" s="103">
        <v>1244700.3999999999</v>
      </c>
      <c r="H38" s="103">
        <v>3491460.09</v>
      </c>
    </row>
    <row r="39" spans="1:8" x14ac:dyDescent="0.2">
      <c r="A39" s="95" t="s">
        <v>109</v>
      </c>
      <c r="B39" s="90"/>
      <c r="C39" s="90"/>
      <c r="D39" s="90"/>
      <c r="E39" s="90"/>
      <c r="F39" s="90"/>
      <c r="G39" s="90"/>
      <c r="H39" s="90"/>
    </row>
  </sheetData>
  <sortState ref="A8:H33">
    <sortCondition ref="D7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21"/>
  <sheetViews>
    <sheetView zoomScaleNormal="100" workbookViewId="0">
      <selection activeCell="I16" sqref="I16"/>
    </sheetView>
  </sheetViews>
  <sheetFormatPr baseColWidth="10" defaultRowHeight="12" x14ac:dyDescent="0.2"/>
  <cols>
    <col min="1" max="1" width="4" style="9" bestFit="1" customWidth="1"/>
    <col min="2" max="2" width="50.28515625" style="9" bestFit="1" customWidth="1"/>
    <col min="3" max="3" width="12.85546875" style="9" bestFit="1" customWidth="1"/>
    <col min="4" max="4" width="22.5703125" style="9" bestFit="1" customWidth="1"/>
    <col min="5" max="5" width="23.28515625" style="9" bestFit="1" customWidth="1"/>
    <col min="6" max="6" width="11.42578125" style="9" bestFit="1" customWidth="1"/>
    <col min="7" max="16384" width="11.42578125" style="9"/>
  </cols>
  <sheetData>
    <row r="1" spans="1:7" x14ac:dyDescent="0.2">
      <c r="A1" s="110" t="s">
        <v>25</v>
      </c>
      <c r="B1" s="110"/>
      <c r="C1" s="110"/>
      <c r="D1" s="110"/>
      <c r="E1" s="110"/>
      <c r="F1" s="110"/>
    </row>
    <row r="2" spans="1:7" x14ac:dyDescent="0.2">
      <c r="A2" s="111" t="s">
        <v>231</v>
      </c>
      <c r="B2" s="111"/>
      <c r="C2" s="111"/>
      <c r="D2" s="111"/>
      <c r="E2" s="111"/>
      <c r="F2" s="111"/>
    </row>
    <row r="3" spans="1:7" x14ac:dyDescent="0.2">
      <c r="A3" s="18" t="s">
        <v>28</v>
      </c>
      <c r="B3" s="18" t="s">
        <v>32</v>
      </c>
      <c r="C3" s="19" t="s">
        <v>7</v>
      </c>
      <c r="D3" s="18" t="s">
        <v>29</v>
      </c>
      <c r="E3" s="23" t="s">
        <v>30</v>
      </c>
      <c r="F3" s="18" t="s">
        <v>31</v>
      </c>
    </row>
    <row r="4" spans="1:7" s="27" customFormat="1" x14ac:dyDescent="0.2">
      <c r="A4" s="28">
        <v>1</v>
      </c>
      <c r="B4" s="56" t="s">
        <v>129</v>
      </c>
      <c r="C4" s="59">
        <f>CEMENTOS!H8</f>
        <v>11600</v>
      </c>
      <c r="D4" s="29" t="s">
        <v>132</v>
      </c>
      <c r="E4" s="9" t="s">
        <v>148</v>
      </c>
      <c r="F4" s="30" t="s">
        <v>159</v>
      </c>
    </row>
    <row r="5" spans="1:7" s="38" customFormat="1" ht="12.75" customHeight="1" x14ac:dyDescent="0.2">
      <c r="A5" s="37">
        <v>2</v>
      </c>
      <c r="B5" s="67" t="s">
        <v>14</v>
      </c>
      <c r="C5" s="72">
        <f>'COMERC DE LACTEOS'!H18</f>
        <v>406905.38</v>
      </c>
      <c r="D5" s="68" t="s">
        <v>34</v>
      </c>
      <c r="E5" s="39" t="s">
        <v>186</v>
      </c>
      <c r="F5" s="30" t="s">
        <v>223</v>
      </c>
      <c r="G5" s="39"/>
    </row>
    <row r="6" spans="1:7" s="38" customFormat="1" ht="12.75" customHeight="1" x14ac:dyDescent="0.2">
      <c r="A6" s="28">
        <v>3</v>
      </c>
      <c r="B6" s="56" t="s">
        <v>191</v>
      </c>
      <c r="C6" s="72">
        <f>DANONE!H4</f>
        <v>43059.199999999997</v>
      </c>
      <c r="D6" s="68" t="s">
        <v>204</v>
      </c>
      <c r="E6" s="39" t="s">
        <v>192</v>
      </c>
      <c r="F6" s="30" t="s">
        <v>222</v>
      </c>
      <c r="G6" s="39"/>
    </row>
    <row r="7" spans="1:7" s="38" customFormat="1" ht="12.75" customHeight="1" x14ac:dyDescent="0.2">
      <c r="A7" s="37">
        <v>4</v>
      </c>
      <c r="B7" s="56" t="s">
        <v>149</v>
      </c>
      <c r="C7" s="72">
        <f>GKN!H17</f>
        <v>1100159.0900000001</v>
      </c>
      <c r="D7" s="68" t="s">
        <v>205</v>
      </c>
      <c r="E7" s="39" t="s">
        <v>224</v>
      </c>
      <c r="F7" s="30" t="s">
        <v>225</v>
      </c>
      <c r="G7" s="39"/>
    </row>
    <row r="8" spans="1:7" s="38" customFormat="1" ht="12.75" customHeight="1" x14ac:dyDescent="0.2">
      <c r="A8" s="28">
        <v>5</v>
      </c>
      <c r="B8" s="56" t="s">
        <v>183</v>
      </c>
      <c r="C8" s="72">
        <f>KASAI!H5</f>
        <v>64960</v>
      </c>
      <c r="D8" s="68" t="s">
        <v>206</v>
      </c>
      <c r="E8" s="39" t="s">
        <v>226</v>
      </c>
      <c r="F8" s="30" t="s">
        <v>222</v>
      </c>
      <c r="G8" s="39"/>
    </row>
    <row r="9" spans="1:7" s="38" customFormat="1" ht="12.75" customHeight="1" x14ac:dyDescent="0.2">
      <c r="A9" s="37">
        <v>6</v>
      </c>
      <c r="B9" s="63" t="s">
        <v>217</v>
      </c>
      <c r="C9" s="72">
        <f>'MINA BOLAÑITOS'!H4</f>
        <v>48511.199999999997</v>
      </c>
      <c r="D9" s="68" t="s">
        <v>229</v>
      </c>
      <c r="E9" s="39" t="s">
        <v>218</v>
      </c>
      <c r="F9" s="30" t="s">
        <v>227</v>
      </c>
      <c r="G9" s="39"/>
    </row>
    <row r="10" spans="1:7" s="27" customFormat="1" x14ac:dyDescent="0.2">
      <c r="A10" s="28">
        <v>7</v>
      </c>
      <c r="B10" s="14" t="s">
        <v>19</v>
      </c>
      <c r="C10" s="69">
        <f>'OP DISTRIB'!H8</f>
        <v>236466</v>
      </c>
      <c r="D10" s="68" t="s">
        <v>46</v>
      </c>
      <c r="E10" s="27" t="s">
        <v>135</v>
      </c>
      <c r="F10" s="30" t="s">
        <v>228</v>
      </c>
      <c r="G10" s="27" t="s">
        <v>178</v>
      </c>
    </row>
    <row r="11" spans="1:7" x14ac:dyDescent="0.2">
      <c r="A11" s="37">
        <v>8</v>
      </c>
      <c r="B11" s="56" t="s">
        <v>195</v>
      </c>
      <c r="C11" s="69">
        <f>PINTURAS!H4</f>
        <v>230728.64</v>
      </c>
      <c r="D11" s="29" t="s">
        <v>207</v>
      </c>
      <c r="E11" s="24" t="s">
        <v>196</v>
      </c>
      <c r="F11" s="30" t="s">
        <v>222</v>
      </c>
      <c r="G11" s="27"/>
    </row>
    <row r="12" spans="1:7" x14ac:dyDescent="0.2">
      <c r="A12" s="28">
        <v>9</v>
      </c>
      <c r="B12" s="63" t="s">
        <v>214</v>
      </c>
      <c r="C12" s="69">
        <f>'RIVAS MARES'!H4</f>
        <v>49999.99</v>
      </c>
      <c r="D12" s="29" t="s">
        <v>230</v>
      </c>
      <c r="E12" s="24" t="s">
        <v>215</v>
      </c>
      <c r="F12" s="30" t="s">
        <v>227</v>
      </c>
      <c r="G12" s="27"/>
    </row>
    <row r="13" spans="1:7" x14ac:dyDescent="0.2">
      <c r="A13" s="37">
        <v>10</v>
      </c>
      <c r="B13" s="51" t="s">
        <v>81</v>
      </c>
      <c r="C13" s="52">
        <f>SWITCH!H9</f>
        <v>500</v>
      </c>
      <c r="D13" s="53" t="s">
        <v>88</v>
      </c>
      <c r="E13" s="60" t="s">
        <v>161</v>
      </c>
      <c r="F13" s="54" t="s">
        <v>162</v>
      </c>
    </row>
    <row r="14" spans="1:7" x14ac:dyDescent="0.2">
      <c r="A14" s="28">
        <v>11</v>
      </c>
      <c r="B14" s="10" t="s">
        <v>11</v>
      </c>
      <c r="C14" s="21">
        <f>UNIVEX!H24</f>
        <v>10324.01</v>
      </c>
      <c r="D14" s="29" t="s">
        <v>50</v>
      </c>
      <c r="E14" s="24" t="s">
        <v>179</v>
      </c>
      <c r="F14" s="30" t="s">
        <v>163</v>
      </c>
    </row>
    <row r="15" spans="1:7" x14ac:dyDescent="0.2">
      <c r="A15" s="37">
        <v>12</v>
      </c>
      <c r="B15" s="42" t="s">
        <v>118</v>
      </c>
      <c r="C15" s="66">
        <f>'VILLALOBOS VILLANUEVA'!H6</f>
        <v>146999.44</v>
      </c>
      <c r="D15" s="29" t="s">
        <v>122</v>
      </c>
      <c r="E15" s="24" t="s">
        <v>164</v>
      </c>
      <c r="F15" s="30" t="s">
        <v>121</v>
      </c>
    </row>
    <row r="16" spans="1:7" x14ac:dyDescent="0.2">
      <c r="A16" s="28"/>
      <c r="B16" s="24" t="s">
        <v>33</v>
      </c>
      <c r="C16" s="21">
        <v>1.29</v>
      </c>
      <c r="D16" s="29"/>
    </row>
    <row r="17" spans="1:3" x14ac:dyDescent="0.2">
      <c r="A17" s="33"/>
      <c r="B17" s="24" t="s">
        <v>36</v>
      </c>
      <c r="C17" s="25">
        <f>SUM(C4:C16)</f>
        <v>2350214.2400000002</v>
      </c>
    </row>
    <row r="18" spans="1:3" x14ac:dyDescent="0.2">
      <c r="B18" s="9" t="s">
        <v>35</v>
      </c>
      <c r="C18" s="25" t="e">
        <f>#REF!</f>
        <v>#REF!</v>
      </c>
    </row>
    <row r="19" spans="1:3" x14ac:dyDescent="0.2">
      <c r="C19" s="26" t="e">
        <f>C17-C18</f>
        <v>#REF!</v>
      </c>
    </row>
    <row r="20" spans="1:3" s="31" customFormat="1" x14ac:dyDescent="0.2">
      <c r="C20" s="32"/>
    </row>
    <row r="21" spans="1:3" x14ac:dyDescent="0.2">
      <c r="C21" s="26"/>
    </row>
  </sheetData>
  <autoFilter ref="A3:F15"/>
  <mergeCells count="2">
    <mergeCell ref="A1:F1"/>
    <mergeCell ref="A2:F2"/>
  </mergeCells>
  <hyperlinks>
    <hyperlink ref="D5" location="'COMERC DE LACTEOS'!A1" display="'COMERC DE LACTEOS'!A1"/>
    <hyperlink ref="D10" location="'OP DISTRIB'!A1" display="'OP DISTRIB'!A1"/>
    <hyperlink ref="D14" location="UNIVEX!A1" display="UNIVEX!A1"/>
    <hyperlink ref="D13" location="SWITCH!A1" display="SWITCH!A1"/>
    <hyperlink ref="D15" location="'VILLALOBOS VILLANUEVA'!A1" display="'VILLALOBOS VILLANUEVA'!A1"/>
    <hyperlink ref="D4" location="CEMENTOS!A1" display="CEMENTOS!A1"/>
    <hyperlink ref="D6" location="DANONE!A1" display="DANONE!A1"/>
    <hyperlink ref="D7" location="GKN!A1" display="GKN!A1"/>
    <hyperlink ref="D8" location="KASAI!A1" display="KASAI!A1"/>
    <hyperlink ref="D11" location="PINTURAS!A1" display="PINTURAS!A1"/>
    <hyperlink ref="D9" location="'MINA BOLAÑITOS'!A1" display="'MINA BOLAÑITOS'!A1"/>
    <hyperlink ref="D12" location="'RIVAS MARES'!A1" display="'RIVAS MARES'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/>
  <dimension ref="A3:E20"/>
  <sheetViews>
    <sheetView workbookViewId="0">
      <selection activeCell="D20" sqref="D20"/>
    </sheetView>
  </sheetViews>
  <sheetFormatPr baseColWidth="10" defaultRowHeight="12.75" x14ac:dyDescent="0.2"/>
  <cols>
    <col min="1" max="1" width="3.28515625" bestFit="1" customWidth="1"/>
    <col min="2" max="2" width="67.7109375" bestFit="1" customWidth="1"/>
    <col min="3" max="3" width="10" bestFit="1" customWidth="1"/>
    <col min="4" max="4" width="24.7109375" bestFit="1" customWidth="1"/>
    <col min="5" max="5" width="13.140625" bestFit="1" customWidth="1"/>
  </cols>
  <sheetData>
    <row r="3" spans="1:5" x14ac:dyDescent="0.2">
      <c r="A3" s="113" t="s">
        <v>297</v>
      </c>
      <c r="B3" s="113" t="s">
        <v>32</v>
      </c>
      <c r="C3" s="113" t="s">
        <v>7</v>
      </c>
      <c r="D3" s="113" t="s">
        <v>29</v>
      </c>
      <c r="E3" s="113" t="s">
        <v>30</v>
      </c>
    </row>
    <row r="5" spans="1:5" x14ac:dyDescent="0.2">
      <c r="B5" t="s">
        <v>129</v>
      </c>
      <c r="C5">
        <v>0</v>
      </c>
      <c r="D5" t="s">
        <v>278</v>
      </c>
    </row>
    <row r="6" spans="1:5" x14ac:dyDescent="0.2">
      <c r="B6" t="s">
        <v>14</v>
      </c>
      <c r="C6">
        <v>0</v>
      </c>
      <c r="D6" t="s">
        <v>279</v>
      </c>
    </row>
    <row r="7" spans="1:5" x14ac:dyDescent="0.2">
      <c r="B7" t="s">
        <v>191</v>
      </c>
      <c r="C7">
        <v>212419.20000000001</v>
      </c>
      <c r="D7" t="s">
        <v>280</v>
      </c>
    </row>
    <row r="8" spans="1:5" x14ac:dyDescent="0.2">
      <c r="B8" t="s">
        <v>149</v>
      </c>
      <c r="C8">
        <v>0</v>
      </c>
      <c r="D8" t="s">
        <v>281</v>
      </c>
    </row>
    <row r="9" spans="1:5" x14ac:dyDescent="0.2">
      <c r="B9" t="s">
        <v>183</v>
      </c>
      <c r="C9">
        <v>64960</v>
      </c>
      <c r="D9" t="s">
        <v>282</v>
      </c>
    </row>
    <row r="10" spans="1:5" x14ac:dyDescent="0.2">
      <c r="B10" t="s">
        <v>244</v>
      </c>
      <c r="D10" t="s">
        <v>294</v>
      </c>
    </row>
    <row r="11" spans="1:5" x14ac:dyDescent="0.2">
      <c r="B11" t="s">
        <v>217</v>
      </c>
      <c r="C11">
        <v>0</v>
      </c>
      <c r="D11" t="s">
        <v>283</v>
      </c>
    </row>
    <row r="12" spans="1:5" x14ac:dyDescent="0.2">
      <c r="B12" t="s">
        <v>19</v>
      </c>
      <c r="C12">
        <v>0</v>
      </c>
      <c r="D12" t="s">
        <v>284</v>
      </c>
    </row>
    <row r="13" spans="1:5" x14ac:dyDescent="0.2">
      <c r="B13" t="s">
        <v>195</v>
      </c>
      <c r="D13" t="s">
        <v>285</v>
      </c>
    </row>
    <row r="14" spans="1:5" x14ac:dyDescent="0.2">
      <c r="B14" t="s">
        <v>214</v>
      </c>
      <c r="D14" t="s">
        <v>286</v>
      </c>
    </row>
    <row r="15" spans="1:5" x14ac:dyDescent="0.2">
      <c r="B15" t="s">
        <v>12</v>
      </c>
      <c r="C15">
        <v>0</v>
      </c>
      <c r="D15" t="s">
        <v>287</v>
      </c>
    </row>
    <row r="16" spans="1:5" x14ac:dyDescent="0.2">
      <c r="B16" t="s">
        <v>76</v>
      </c>
      <c r="C16">
        <v>500</v>
      </c>
      <c r="D16" t="s">
        <v>288</v>
      </c>
    </row>
    <row r="17" spans="2:4" x14ac:dyDescent="0.2">
      <c r="B17" t="s">
        <v>247</v>
      </c>
      <c r="C17">
        <v>345556.64</v>
      </c>
      <c r="D17" t="s">
        <v>295</v>
      </c>
    </row>
    <row r="18" spans="2:4" x14ac:dyDescent="0.2">
      <c r="B18" t="s">
        <v>242</v>
      </c>
      <c r="D18" t="s">
        <v>296</v>
      </c>
    </row>
    <row r="19" spans="2:4" x14ac:dyDescent="0.2">
      <c r="B19" t="s">
        <v>11</v>
      </c>
      <c r="C19">
        <v>0</v>
      </c>
      <c r="D19" t="s">
        <v>289</v>
      </c>
    </row>
    <row r="20" spans="2:4" x14ac:dyDescent="0.2">
      <c r="B20" t="s">
        <v>118</v>
      </c>
      <c r="C20">
        <v>179999.44</v>
      </c>
      <c r="D20" t="s">
        <v>290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ExtraerValores">
                <anchor moveWithCells="1" sizeWithCells="1">
                  <from>
                    <xdr:col>15</xdr:col>
                    <xdr:colOff>9525</xdr:colOff>
                    <xdr:row>8</xdr:row>
                    <xdr:rowOff>9525</xdr:rowOff>
                  </from>
                  <to>
                    <xdr:col>16</xdr:col>
                    <xdr:colOff>704850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9"/>
  <sheetViews>
    <sheetView tabSelected="1" workbookViewId="0">
      <selection activeCell="H5" sqref="H5"/>
    </sheetView>
  </sheetViews>
  <sheetFormatPr baseColWidth="10" defaultRowHeight="12.75" x14ac:dyDescent="0.2"/>
  <cols>
    <col min="4" max="4" width="39" bestFit="1" customWidth="1"/>
  </cols>
  <sheetData>
    <row r="1" spans="1:9" x14ac:dyDescent="0.2">
      <c r="A1" s="110" t="s">
        <v>25</v>
      </c>
      <c r="B1" s="110"/>
      <c r="C1" s="110"/>
      <c r="D1" s="110"/>
      <c r="E1" s="110"/>
      <c r="F1" s="110"/>
      <c r="G1" s="110"/>
      <c r="H1" s="110"/>
    </row>
    <row r="2" spans="1:9" x14ac:dyDescent="0.2">
      <c r="A2" s="112" t="s">
        <v>180</v>
      </c>
      <c r="B2" s="112"/>
      <c r="C2" s="112"/>
      <c r="D2" s="112"/>
      <c r="E2" s="112"/>
      <c r="F2" s="112"/>
      <c r="G2" s="112"/>
      <c r="H2" s="112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56" t="s">
        <v>128</v>
      </c>
      <c r="B4" s="56" t="s">
        <v>8</v>
      </c>
      <c r="C4" s="57">
        <v>13</v>
      </c>
      <c r="D4" s="56" t="s">
        <v>129</v>
      </c>
      <c r="E4" s="56" t="s">
        <v>130</v>
      </c>
      <c r="F4" s="55">
        <v>43384</v>
      </c>
      <c r="G4" s="56"/>
      <c r="H4" s="21">
        <f>F4</f>
        <v>43384</v>
      </c>
      <c r="I4" s="41" t="s">
        <v>108</v>
      </c>
    </row>
    <row r="5" spans="1:9" x14ac:dyDescent="0.2">
      <c r="A5" s="63" t="s">
        <v>154</v>
      </c>
      <c r="B5" s="63" t="s">
        <v>20</v>
      </c>
      <c r="C5" s="64">
        <v>7</v>
      </c>
      <c r="D5" s="63" t="s">
        <v>129</v>
      </c>
      <c r="E5" s="63" t="s">
        <v>130</v>
      </c>
      <c r="F5" s="63"/>
      <c r="G5" s="62">
        <v>43384</v>
      </c>
      <c r="H5" s="21">
        <f>H4+F5-G5</f>
        <v>0</v>
      </c>
    </row>
    <row r="6" spans="1:9" x14ac:dyDescent="0.2">
      <c r="A6" s="63" t="s">
        <v>144</v>
      </c>
      <c r="B6" s="63" t="s">
        <v>8</v>
      </c>
      <c r="C6" s="64">
        <v>15</v>
      </c>
      <c r="D6" s="63" t="s">
        <v>129</v>
      </c>
      <c r="E6" s="63" t="s">
        <v>145</v>
      </c>
      <c r="F6" s="62">
        <v>159732</v>
      </c>
      <c r="G6" s="63"/>
      <c r="H6" s="21">
        <f>H5+F6-G6</f>
        <v>159732</v>
      </c>
    </row>
    <row r="7" spans="1:9" x14ac:dyDescent="0.2">
      <c r="A7" s="63" t="s">
        <v>166</v>
      </c>
      <c r="B7" s="63" t="s">
        <v>20</v>
      </c>
      <c r="C7" s="64">
        <v>2</v>
      </c>
      <c r="D7" s="63" t="s">
        <v>129</v>
      </c>
      <c r="E7" s="63" t="s">
        <v>145</v>
      </c>
      <c r="F7" s="70"/>
      <c r="G7" s="62">
        <v>159732</v>
      </c>
      <c r="H7" s="21">
        <f>H6+F7-G7</f>
        <v>0</v>
      </c>
    </row>
    <row r="8" spans="1:9" x14ac:dyDescent="0.2">
      <c r="A8" s="45" t="s">
        <v>147</v>
      </c>
      <c r="B8" s="45" t="s">
        <v>8</v>
      </c>
      <c r="C8" s="46">
        <v>16</v>
      </c>
      <c r="D8" s="45" t="s">
        <v>129</v>
      </c>
      <c r="E8" s="45" t="s">
        <v>148</v>
      </c>
      <c r="F8" s="47">
        <v>11600</v>
      </c>
      <c r="G8" s="45"/>
      <c r="H8" s="21">
        <f>H7+F8-G8</f>
        <v>11600</v>
      </c>
    </row>
    <row r="9" spans="1:9" x14ac:dyDescent="0.2">
      <c r="A9" s="101" t="s">
        <v>250</v>
      </c>
      <c r="B9" s="101" t="s">
        <v>8</v>
      </c>
      <c r="C9" s="102">
        <v>12</v>
      </c>
      <c r="D9" s="101" t="s">
        <v>129</v>
      </c>
      <c r="E9" s="101" t="s">
        <v>252</v>
      </c>
      <c r="F9" s="100">
        <v>45356</v>
      </c>
      <c r="G9" s="95"/>
      <c r="H9" s="21">
        <f>H8+F9-G9</f>
        <v>56956</v>
      </c>
    </row>
  </sheetData>
  <mergeCells count="2">
    <mergeCell ref="A1:H1"/>
    <mergeCell ref="A2:H2"/>
  </mergeCells>
  <hyperlinks>
    <hyperlink ref="I4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18"/>
  <sheetViews>
    <sheetView workbookViewId="0">
      <selection activeCell="D3" sqref="D3"/>
    </sheetView>
  </sheetViews>
  <sheetFormatPr baseColWidth="10" defaultRowHeight="12" x14ac:dyDescent="0.2"/>
  <cols>
    <col min="1" max="3" width="11.42578125" style="9"/>
    <col min="4" max="4" width="52.5703125" style="9" bestFit="1" customWidth="1"/>
    <col min="5" max="7" width="11.42578125" style="9"/>
    <col min="8" max="8" width="11.85546875" style="9" bestFit="1" customWidth="1"/>
    <col min="9" max="16384" width="11.42578125" style="9"/>
  </cols>
  <sheetData>
    <row r="1" spans="1:9" x14ac:dyDescent="0.2">
      <c r="A1" s="110" t="s">
        <v>25</v>
      </c>
      <c r="B1" s="110"/>
      <c r="C1" s="110"/>
      <c r="D1" s="110"/>
      <c r="E1" s="110"/>
      <c r="F1" s="110"/>
      <c r="G1" s="110"/>
      <c r="H1" s="110"/>
    </row>
    <row r="2" spans="1:9" x14ac:dyDescent="0.2">
      <c r="A2" s="112" t="s">
        <v>180</v>
      </c>
      <c r="B2" s="112"/>
      <c r="C2" s="112"/>
      <c r="D2" s="112"/>
      <c r="E2" s="112"/>
      <c r="F2" s="112"/>
      <c r="G2" s="112"/>
      <c r="H2" s="112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14" t="s">
        <v>21</v>
      </c>
      <c r="B4" s="14" t="s">
        <v>8</v>
      </c>
      <c r="C4" s="15">
        <v>5</v>
      </c>
      <c r="D4" s="14" t="s">
        <v>14</v>
      </c>
      <c r="E4" s="14" t="s">
        <v>22</v>
      </c>
      <c r="F4" s="16">
        <v>30635.599999999999</v>
      </c>
      <c r="G4" s="14"/>
      <c r="H4" s="21">
        <f>F4</f>
        <v>30635.599999999999</v>
      </c>
    </row>
    <row r="5" spans="1:9" x14ac:dyDescent="0.2">
      <c r="A5" s="34" t="s">
        <v>87</v>
      </c>
      <c r="B5" s="34" t="s">
        <v>17</v>
      </c>
      <c r="C5" s="35">
        <v>104</v>
      </c>
      <c r="D5" s="34" t="s">
        <v>14</v>
      </c>
      <c r="E5" s="34" t="s">
        <v>22</v>
      </c>
      <c r="F5" s="36">
        <v>-30635.599999999999</v>
      </c>
      <c r="G5" s="34"/>
      <c r="H5" s="21">
        <f t="shared" ref="H5:H18" si="0">H4+F5-G5</f>
        <v>0</v>
      </c>
    </row>
    <row r="6" spans="1:9" x14ac:dyDescent="0.2">
      <c r="A6" s="14" t="s">
        <v>39</v>
      </c>
      <c r="B6" s="14" t="s">
        <v>8</v>
      </c>
      <c r="C6" s="15">
        <v>11</v>
      </c>
      <c r="D6" s="14" t="s">
        <v>14</v>
      </c>
      <c r="E6" s="14" t="s">
        <v>40</v>
      </c>
      <c r="F6" s="16">
        <v>30635.599999999999</v>
      </c>
      <c r="G6" s="14"/>
      <c r="H6" s="21">
        <f t="shared" si="0"/>
        <v>30635.599999999999</v>
      </c>
    </row>
    <row r="7" spans="1:9" x14ac:dyDescent="0.2">
      <c r="A7" s="14" t="s">
        <v>59</v>
      </c>
      <c r="B7" s="14" t="s">
        <v>17</v>
      </c>
      <c r="C7" s="15">
        <v>10</v>
      </c>
      <c r="D7" s="14" t="s">
        <v>60</v>
      </c>
      <c r="E7" s="14" t="s">
        <v>40</v>
      </c>
      <c r="F7" s="40">
        <v>-30635.599999999999</v>
      </c>
      <c r="G7" s="14"/>
      <c r="H7" s="21">
        <f t="shared" si="0"/>
        <v>0</v>
      </c>
    </row>
    <row r="8" spans="1:9" x14ac:dyDescent="0.2">
      <c r="A8" s="14" t="s">
        <v>68</v>
      </c>
      <c r="B8" s="14" t="s">
        <v>20</v>
      </c>
      <c r="C8" s="15">
        <v>1</v>
      </c>
      <c r="D8" s="14" t="s">
        <v>14</v>
      </c>
      <c r="E8" s="14" t="s">
        <v>105</v>
      </c>
      <c r="F8" s="14"/>
      <c r="G8" s="16">
        <v>30635.599999999999</v>
      </c>
      <c r="H8" s="21">
        <f t="shared" si="0"/>
        <v>-30635.599999999999</v>
      </c>
      <c r="I8" s="9" t="s">
        <v>70</v>
      </c>
    </row>
    <row r="9" spans="1:9" x14ac:dyDescent="0.2">
      <c r="A9" s="14" t="s">
        <v>104</v>
      </c>
      <c r="B9" s="14" t="s">
        <v>8</v>
      </c>
      <c r="C9" s="15">
        <v>29</v>
      </c>
      <c r="D9" s="14" t="s">
        <v>14</v>
      </c>
      <c r="E9" s="14" t="s">
        <v>105</v>
      </c>
      <c r="F9" s="16">
        <v>30635.599999999999</v>
      </c>
      <c r="G9" s="14"/>
      <c r="H9" s="21">
        <f t="shared" si="0"/>
        <v>0</v>
      </c>
    </row>
    <row r="10" spans="1:9" x14ac:dyDescent="0.2">
      <c r="A10" s="14" t="s">
        <v>69</v>
      </c>
      <c r="B10" s="14" t="s">
        <v>8</v>
      </c>
      <c r="C10" s="15">
        <v>14</v>
      </c>
      <c r="D10" s="14" t="s">
        <v>14</v>
      </c>
      <c r="E10" s="14" t="s">
        <v>40</v>
      </c>
      <c r="F10" s="16">
        <v>30635.599999999999</v>
      </c>
      <c r="G10" s="14"/>
      <c r="H10" s="21">
        <f t="shared" si="0"/>
        <v>30635.599999999999</v>
      </c>
    </row>
    <row r="11" spans="1:9" x14ac:dyDescent="0.2">
      <c r="A11" s="48" t="s">
        <v>158</v>
      </c>
      <c r="B11" s="34" t="s">
        <v>17</v>
      </c>
      <c r="C11" s="27">
        <v>147</v>
      </c>
      <c r="D11" s="48" t="s">
        <v>14</v>
      </c>
      <c r="E11" s="14" t="s">
        <v>40</v>
      </c>
      <c r="F11" s="40">
        <v>-30635.599999999999</v>
      </c>
      <c r="G11" s="27"/>
      <c r="H11" s="21">
        <f t="shared" si="0"/>
        <v>0</v>
      </c>
    </row>
    <row r="12" spans="1:9" x14ac:dyDescent="0.2">
      <c r="A12" s="14" t="s">
        <v>94</v>
      </c>
      <c r="B12" s="14" t="s">
        <v>8</v>
      </c>
      <c r="C12" s="15">
        <v>10</v>
      </c>
      <c r="D12" s="14" t="s">
        <v>14</v>
      </c>
      <c r="E12" s="14" t="s">
        <v>95</v>
      </c>
      <c r="F12" s="16">
        <v>12760</v>
      </c>
      <c r="G12" s="14"/>
      <c r="H12" s="21">
        <f t="shared" si="0"/>
        <v>12760</v>
      </c>
    </row>
    <row r="13" spans="1:9" x14ac:dyDescent="0.2">
      <c r="A13" s="56" t="s">
        <v>124</v>
      </c>
      <c r="B13" s="56" t="s">
        <v>20</v>
      </c>
      <c r="C13" s="57">
        <v>7</v>
      </c>
      <c r="D13" s="56" t="s">
        <v>14</v>
      </c>
      <c r="E13" s="56" t="s">
        <v>95</v>
      </c>
      <c r="F13" s="56"/>
      <c r="G13" s="55">
        <v>12760</v>
      </c>
      <c r="H13" s="21">
        <f t="shared" si="0"/>
        <v>0</v>
      </c>
    </row>
    <row r="14" spans="1:9" x14ac:dyDescent="0.2">
      <c r="A14" s="14" t="s">
        <v>94</v>
      </c>
      <c r="B14" s="14" t="s">
        <v>8</v>
      </c>
      <c r="C14" s="15">
        <v>11</v>
      </c>
      <c r="D14" s="14" t="s">
        <v>14</v>
      </c>
      <c r="E14" s="14" t="s">
        <v>96</v>
      </c>
      <c r="F14" s="16">
        <v>21204.799999999999</v>
      </c>
      <c r="G14" s="14"/>
      <c r="H14" s="21">
        <f t="shared" si="0"/>
        <v>21204.799999999999</v>
      </c>
    </row>
    <row r="15" spans="1:9" x14ac:dyDescent="0.2">
      <c r="A15" s="56" t="s">
        <v>124</v>
      </c>
      <c r="B15" s="56" t="s">
        <v>20</v>
      </c>
      <c r="C15" s="57">
        <v>7</v>
      </c>
      <c r="D15" s="56" t="s">
        <v>14</v>
      </c>
      <c r="E15" s="56" t="s">
        <v>96</v>
      </c>
      <c r="F15" s="56"/>
      <c r="G15" s="55">
        <v>21204.799999999999</v>
      </c>
      <c r="H15" s="21">
        <f t="shared" si="0"/>
        <v>0</v>
      </c>
    </row>
    <row r="16" spans="1:9" ht="12.75" x14ac:dyDescent="0.2">
      <c r="A16" s="48" t="s">
        <v>140</v>
      </c>
      <c r="B16" s="48" t="s">
        <v>8</v>
      </c>
      <c r="C16" s="49">
        <v>11</v>
      </c>
      <c r="D16" s="48" t="s">
        <v>14</v>
      </c>
      <c r="E16" s="48" t="s">
        <v>141</v>
      </c>
      <c r="F16" s="50">
        <v>381733.38</v>
      </c>
      <c r="G16" s="48"/>
      <c r="H16" s="21">
        <f t="shared" si="0"/>
        <v>381733.38</v>
      </c>
      <c r="I16" s="41" t="s">
        <v>108</v>
      </c>
    </row>
    <row r="17" spans="1:8" x14ac:dyDescent="0.2">
      <c r="A17" s="48" t="s">
        <v>208</v>
      </c>
      <c r="B17" s="48" t="s">
        <v>20</v>
      </c>
      <c r="C17" s="49">
        <v>1</v>
      </c>
      <c r="D17" s="48" t="s">
        <v>14</v>
      </c>
      <c r="E17" s="48" t="s">
        <v>141</v>
      </c>
      <c r="F17" s="48"/>
      <c r="G17" s="50">
        <v>381733.38</v>
      </c>
      <c r="H17" s="21">
        <f t="shared" si="0"/>
        <v>0</v>
      </c>
    </row>
    <row r="18" spans="1:8" x14ac:dyDescent="0.2">
      <c r="A18" s="6" t="s">
        <v>181</v>
      </c>
      <c r="B18" s="6" t="s">
        <v>8</v>
      </c>
      <c r="C18" s="7">
        <v>7</v>
      </c>
      <c r="D18" s="6" t="s">
        <v>14</v>
      </c>
      <c r="E18" s="6" t="s">
        <v>186</v>
      </c>
      <c r="F18" s="8">
        <v>406905.38</v>
      </c>
      <c r="G18" s="6"/>
      <c r="H18" s="21">
        <f t="shared" si="0"/>
        <v>406905.38</v>
      </c>
    </row>
  </sheetData>
  <autoFilter ref="A3:H4"/>
  <mergeCells count="2">
    <mergeCell ref="A1:H1"/>
    <mergeCell ref="A2:H2"/>
  </mergeCells>
  <hyperlinks>
    <hyperlink ref="I16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5"/>
  <sheetViews>
    <sheetView workbookViewId="0">
      <selection activeCell="H5" sqref="H5"/>
    </sheetView>
  </sheetViews>
  <sheetFormatPr baseColWidth="10" defaultRowHeight="12.75" x14ac:dyDescent="0.2"/>
  <sheetData>
    <row r="1" spans="1:8" x14ac:dyDescent="0.2">
      <c r="A1" s="110" t="s">
        <v>25</v>
      </c>
      <c r="B1" s="110"/>
      <c r="C1" s="110"/>
      <c r="D1" s="110"/>
      <c r="E1" s="110"/>
      <c r="F1" s="110"/>
      <c r="G1" s="110"/>
      <c r="H1" s="110"/>
    </row>
    <row r="2" spans="1:8" x14ac:dyDescent="0.2">
      <c r="A2" s="112" t="s">
        <v>180</v>
      </c>
      <c r="B2" s="112"/>
      <c r="C2" s="112"/>
      <c r="D2" s="112"/>
      <c r="E2" s="112"/>
      <c r="F2" s="112"/>
      <c r="G2" s="112"/>
      <c r="H2" s="112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76" t="s">
        <v>190</v>
      </c>
      <c r="B4" s="76" t="s">
        <v>8</v>
      </c>
      <c r="C4" s="77">
        <v>17</v>
      </c>
      <c r="D4" s="76" t="s">
        <v>191</v>
      </c>
      <c r="E4" s="76" t="s">
        <v>192</v>
      </c>
      <c r="F4" s="75">
        <v>43059.199999999997</v>
      </c>
      <c r="G4" s="74"/>
      <c r="H4" s="86">
        <f>F4</f>
        <v>43059.199999999997</v>
      </c>
    </row>
    <row r="5" spans="1:8" x14ac:dyDescent="0.2">
      <c r="A5" s="101" t="s">
        <v>256</v>
      </c>
      <c r="B5" s="101" t="s">
        <v>8</v>
      </c>
      <c r="C5" s="102">
        <v>14</v>
      </c>
      <c r="D5" s="101" t="s">
        <v>191</v>
      </c>
      <c r="E5" s="101" t="s">
        <v>257</v>
      </c>
      <c r="F5" s="100">
        <v>169360</v>
      </c>
      <c r="G5" s="95"/>
      <c r="H5" s="86">
        <f>H4+F5-G5</f>
        <v>212419.20000000001</v>
      </c>
    </row>
  </sheetData>
  <mergeCells count="2">
    <mergeCell ref="A1:H1"/>
    <mergeCell ref="A2:H2"/>
  </mergeCells>
  <pageMargins left="0.7" right="0.7" top="0.75" bottom="0.75" header="0.3" footer="0.3"/>
  <pageSetup paperSize="9"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I23"/>
  <sheetViews>
    <sheetView workbookViewId="0">
      <selection activeCell="H23" sqref="H23"/>
    </sheetView>
  </sheetViews>
  <sheetFormatPr baseColWidth="10" defaultColWidth="11.5703125" defaultRowHeight="12.75" x14ac:dyDescent="0.2"/>
  <cols>
    <col min="1" max="3" width="11.5703125" style="3"/>
    <col min="4" max="4" width="27.7109375" style="3" bestFit="1" customWidth="1"/>
    <col min="5" max="16384" width="11.5703125" style="3"/>
  </cols>
  <sheetData>
    <row r="1" spans="1:9" x14ac:dyDescent="0.2">
      <c r="A1" s="110" t="s">
        <v>25</v>
      </c>
      <c r="B1" s="110"/>
      <c r="C1" s="110"/>
      <c r="D1" s="110"/>
      <c r="E1" s="110"/>
      <c r="F1" s="110"/>
      <c r="G1" s="110"/>
      <c r="H1" s="110"/>
    </row>
    <row r="2" spans="1:9" x14ac:dyDescent="0.2">
      <c r="A2" s="112" t="s">
        <v>180</v>
      </c>
      <c r="B2" s="112"/>
      <c r="C2" s="112"/>
      <c r="D2" s="112"/>
      <c r="E2" s="112"/>
      <c r="F2" s="112"/>
      <c r="G2" s="112"/>
      <c r="H2" s="112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63" t="s">
        <v>147</v>
      </c>
      <c r="B4" s="63" t="s">
        <v>8</v>
      </c>
      <c r="C4" s="64">
        <v>18</v>
      </c>
      <c r="D4" s="63" t="s">
        <v>149</v>
      </c>
      <c r="E4" s="63" t="s">
        <v>150</v>
      </c>
      <c r="F4" s="62">
        <v>39324</v>
      </c>
      <c r="G4" s="63"/>
      <c r="H4" s="21">
        <f>F4</f>
        <v>39324</v>
      </c>
    </row>
    <row r="5" spans="1:9" x14ac:dyDescent="0.2">
      <c r="A5" s="63" t="s">
        <v>171</v>
      </c>
      <c r="B5" s="63" t="s">
        <v>20</v>
      </c>
      <c r="C5" s="64">
        <v>6</v>
      </c>
      <c r="D5" s="63" t="s">
        <v>172</v>
      </c>
      <c r="E5" s="63" t="s">
        <v>150</v>
      </c>
      <c r="F5" s="70"/>
      <c r="G5" s="62">
        <v>39324</v>
      </c>
      <c r="H5" s="21">
        <f>H4+F5-G5</f>
        <v>0</v>
      </c>
      <c r="I5" s="88" t="s">
        <v>108</v>
      </c>
    </row>
    <row r="6" spans="1:9" x14ac:dyDescent="0.2">
      <c r="A6" s="63" t="s">
        <v>147</v>
      </c>
      <c r="B6" s="63" t="s">
        <v>8</v>
      </c>
      <c r="C6" s="64">
        <v>19</v>
      </c>
      <c r="D6" s="63" t="s">
        <v>149</v>
      </c>
      <c r="E6" s="63" t="s">
        <v>151</v>
      </c>
      <c r="F6" s="62">
        <v>27220.560000000001</v>
      </c>
      <c r="G6" s="63"/>
      <c r="H6" s="21">
        <f>H5+F6-G6</f>
        <v>27220.560000000001</v>
      </c>
    </row>
    <row r="7" spans="1:9" x14ac:dyDescent="0.2">
      <c r="A7" s="63" t="s">
        <v>171</v>
      </c>
      <c r="B7" s="63" t="s">
        <v>20</v>
      </c>
      <c r="C7" s="64">
        <v>6</v>
      </c>
      <c r="D7" s="63" t="s">
        <v>172</v>
      </c>
      <c r="E7" s="63" t="s">
        <v>151</v>
      </c>
      <c r="F7" s="70"/>
      <c r="G7" s="62">
        <v>27220.560000000001</v>
      </c>
      <c r="H7" s="21">
        <f t="shared" ref="H7:H22" si="0">H6+F7-G7</f>
        <v>0</v>
      </c>
    </row>
    <row r="8" spans="1:9" x14ac:dyDescent="0.2">
      <c r="A8" s="56" t="s">
        <v>181</v>
      </c>
      <c r="B8" s="56" t="s">
        <v>8</v>
      </c>
      <c r="C8" s="57">
        <v>3</v>
      </c>
      <c r="D8" s="56" t="s">
        <v>149</v>
      </c>
      <c r="E8" s="56" t="s">
        <v>182</v>
      </c>
      <c r="F8" s="55">
        <v>65424</v>
      </c>
      <c r="G8" s="87"/>
      <c r="H8" s="21">
        <f t="shared" si="0"/>
        <v>65424</v>
      </c>
    </row>
    <row r="9" spans="1:9" x14ac:dyDescent="0.2">
      <c r="A9" s="63" t="s">
        <v>209</v>
      </c>
      <c r="B9" s="63" t="s">
        <v>20</v>
      </c>
      <c r="C9" s="64">
        <v>2</v>
      </c>
      <c r="D9" s="63" t="s">
        <v>172</v>
      </c>
      <c r="E9" s="63" t="s">
        <v>182</v>
      </c>
      <c r="F9" s="63"/>
      <c r="G9" s="62">
        <v>65424</v>
      </c>
      <c r="H9" s="21">
        <f t="shared" si="0"/>
        <v>0</v>
      </c>
    </row>
    <row r="10" spans="1:9" x14ac:dyDescent="0.2">
      <c r="A10" s="6" t="s">
        <v>197</v>
      </c>
      <c r="B10" s="6" t="s">
        <v>8</v>
      </c>
      <c r="C10" s="7">
        <v>21</v>
      </c>
      <c r="D10" s="6" t="s">
        <v>149</v>
      </c>
      <c r="E10" s="6" t="s">
        <v>198</v>
      </c>
      <c r="F10" s="8">
        <v>78033.2</v>
      </c>
      <c r="G10" s="89"/>
      <c r="H10" s="21">
        <f t="shared" si="0"/>
        <v>78033.2</v>
      </c>
    </row>
    <row r="11" spans="1:9" x14ac:dyDescent="0.2">
      <c r="A11" s="6" t="s">
        <v>197</v>
      </c>
      <c r="B11" s="6" t="s">
        <v>8</v>
      </c>
      <c r="C11" s="7">
        <v>22</v>
      </c>
      <c r="D11" s="6" t="s">
        <v>149</v>
      </c>
      <c r="E11" s="6" t="s">
        <v>199</v>
      </c>
      <c r="F11" s="8">
        <v>245224</v>
      </c>
      <c r="G11" s="89"/>
      <c r="H11" s="21">
        <f t="shared" si="0"/>
        <v>323257.2</v>
      </c>
    </row>
    <row r="12" spans="1:9" x14ac:dyDescent="0.2">
      <c r="A12" s="6" t="s">
        <v>197</v>
      </c>
      <c r="B12" s="6" t="s">
        <v>8</v>
      </c>
      <c r="C12" s="7">
        <v>23</v>
      </c>
      <c r="D12" s="6" t="s">
        <v>149</v>
      </c>
      <c r="E12" s="6" t="s">
        <v>200</v>
      </c>
      <c r="F12" s="8">
        <v>320450</v>
      </c>
      <c r="G12" s="89"/>
      <c r="H12" s="21">
        <f t="shared" si="0"/>
        <v>643707.19999999995</v>
      </c>
    </row>
    <row r="13" spans="1:9" x14ac:dyDescent="0.2">
      <c r="A13" s="6" t="s">
        <v>197</v>
      </c>
      <c r="B13" s="6" t="s">
        <v>8</v>
      </c>
      <c r="C13" s="7">
        <v>24</v>
      </c>
      <c r="D13" s="6" t="s">
        <v>149</v>
      </c>
      <c r="E13" s="6" t="s">
        <v>201</v>
      </c>
      <c r="F13" s="8">
        <v>64728</v>
      </c>
      <c r="G13" s="89"/>
      <c r="H13" s="21">
        <f t="shared" si="0"/>
        <v>708435.2</v>
      </c>
    </row>
    <row r="14" spans="1:9" x14ac:dyDescent="0.2">
      <c r="A14" s="6" t="s">
        <v>197</v>
      </c>
      <c r="B14" s="6" t="s">
        <v>8</v>
      </c>
      <c r="C14" s="7">
        <v>25</v>
      </c>
      <c r="D14" s="6" t="s">
        <v>149</v>
      </c>
      <c r="E14" s="6" t="s">
        <v>202</v>
      </c>
      <c r="F14" s="8">
        <v>20996</v>
      </c>
      <c r="G14" s="89"/>
      <c r="H14" s="21">
        <f t="shared" si="0"/>
        <v>729431.2</v>
      </c>
    </row>
    <row r="15" spans="1:9" x14ac:dyDescent="0.2">
      <c r="A15" s="45" t="s">
        <v>211</v>
      </c>
      <c r="B15" s="45" t="s">
        <v>8</v>
      </c>
      <c r="C15" s="46">
        <v>4</v>
      </c>
      <c r="D15" s="45" t="s">
        <v>149</v>
      </c>
      <c r="E15" s="45" t="s">
        <v>212</v>
      </c>
      <c r="F15" s="47">
        <v>324334.61</v>
      </c>
      <c r="G15" s="45"/>
      <c r="H15" s="21">
        <f t="shared" si="0"/>
        <v>1053765.81</v>
      </c>
    </row>
    <row r="16" spans="1:9" x14ac:dyDescent="0.2">
      <c r="A16" s="45" t="s">
        <v>219</v>
      </c>
      <c r="B16" s="45" t="s">
        <v>8</v>
      </c>
      <c r="C16" s="46">
        <v>8</v>
      </c>
      <c r="D16" s="45" t="s">
        <v>149</v>
      </c>
      <c r="E16" s="45" t="s">
        <v>220</v>
      </c>
      <c r="F16" s="47">
        <v>11674.94</v>
      </c>
      <c r="G16" s="45"/>
      <c r="H16" s="21">
        <f t="shared" si="0"/>
        <v>1065440.75</v>
      </c>
    </row>
    <row r="17" spans="1:8" x14ac:dyDescent="0.2">
      <c r="A17" s="45" t="s">
        <v>219</v>
      </c>
      <c r="B17" s="45" t="s">
        <v>8</v>
      </c>
      <c r="C17" s="46">
        <v>9</v>
      </c>
      <c r="D17" s="45" t="s">
        <v>149</v>
      </c>
      <c r="E17" s="45" t="s">
        <v>221</v>
      </c>
      <c r="F17" s="47">
        <v>34718.339999999997</v>
      </c>
      <c r="G17" s="45"/>
      <c r="H17" s="21">
        <f t="shared" si="0"/>
        <v>1100159.0900000001</v>
      </c>
    </row>
    <row r="18" spans="1:8" x14ac:dyDescent="0.2">
      <c r="A18" s="101" t="s">
        <v>250</v>
      </c>
      <c r="B18" s="101" t="s">
        <v>8</v>
      </c>
      <c r="C18" s="102">
        <v>11</v>
      </c>
      <c r="D18" s="101" t="s">
        <v>149</v>
      </c>
      <c r="E18" s="101" t="s">
        <v>251</v>
      </c>
      <c r="F18" s="100">
        <v>34924</v>
      </c>
      <c r="G18" s="95"/>
      <c r="H18" s="21">
        <f t="shared" si="0"/>
        <v>1135083.0900000001</v>
      </c>
    </row>
    <row r="19" spans="1:8" x14ac:dyDescent="0.2">
      <c r="A19" s="101" t="s">
        <v>246</v>
      </c>
      <c r="B19" s="101" t="s">
        <v>20</v>
      </c>
      <c r="C19" s="102">
        <v>2</v>
      </c>
      <c r="D19" s="101" t="s">
        <v>172</v>
      </c>
      <c r="E19" s="101" t="s">
        <v>198</v>
      </c>
      <c r="F19" s="95"/>
      <c r="G19" s="100">
        <v>78033.2</v>
      </c>
      <c r="H19" s="21">
        <f t="shared" si="0"/>
        <v>1057049.8900000001</v>
      </c>
    </row>
    <row r="20" spans="1:8" x14ac:dyDescent="0.2">
      <c r="A20" s="101" t="s">
        <v>246</v>
      </c>
      <c r="B20" s="101" t="s">
        <v>20</v>
      </c>
      <c r="C20" s="102">
        <v>2</v>
      </c>
      <c r="D20" s="101" t="s">
        <v>172</v>
      </c>
      <c r="E20" s="101" t="s">
        <v>199</v>
      </c>
      <c r="F20" s="95"/>
      <c r="G20" s="100">
        <v>245224</v>
      </c>
      <c r="H20" s="21">
        <f t="shared" si="0"/>
        <v>811825.89000000013</v>
      </c>
    </row>
    <row r="21" spans="1:8" x14ac:dyDescent="0.2">
      <c r="A21" s="101" t="s">
        <v>246</v>
      </c>
      <c r="B21" s="101" t="s">
        <v>20</v>
      </c>
      <c r="C21" s="102">
        <v>2</v>
      </c>
      <c r="D21" s="101" t="s">
        <v>172</v>
      </c>
      <c r="E21" s="101" t="s">
        <v>201</v>
      </c>
      <c r="F21" s="95"/>
      <c r="G21" s="100">
        <v>64728</v>
      </c>
      <c r="H21" s="21">
        <f t="shared" si="0"/>
        <v>747097.89000000013</v>
      </c>
    </row>
    <row r="22" spans="1:8" x14ac:dyDescent="0.2">
      <c r="A22" s="101" t="s">
        <v>246</v>
      </c>
      <c r="B22" s="101" t="s">
        <v>20</v>
      </c>
      <c r="C22" s="102">
        <v>2</v>
      </c>
      <c r="D22" s="101" t="s">
        <v>172</v>
      </c>
      <c r="E22" s="101" t="s">
        <v>202</v>
      </c>
      <c r="F22" s="95"/>
      <c r="G22" s="100">
        <v>20996</v>
      </c>
      <c r="H22" s="21">
        <f t="shared" si="0"/>
        <v>726101.89000000013</v>
      </c>
    </row>
    <row r="23" spans="1:8" x14ac:dyDescent="0.2">
      <c r="H23" s="21"/>
    </row>
  </sheetData>
  <mergeCells count="2">
    <mergeCell ref="A1:H1"/>
    <mergeCell ref="A2:H2"/>
  </mergeCells>
  <hyperlinks>
    <hyperlink ref="I5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7"/>
  <sheetViews>
    <sheetView workbookViewId="0">
      <selection activeCell="A3" sqref="A3"/>
    </sheetView>
  </sheetViews>
  <sheetFormatPr baseColWidth="10" defaultRowHeight="12.75" x14ac:dyDescent="0.2"/>
  <sheetData>
    <row r="1" spans="1:8" x14ac:dyDescent="0.2">
      <c r="A1" s="110" t="s">
        <v>25</v>
      </c>
      <c r="B1" s="110"/>
      <c r="C1" s="110"/>
      <c r="D1" s="110"/>
      <c r="E1" s="110"/>
      <c r="F1" s="110"/>
      <c r="G1" s="110"/>
      <c r="H1" s="110"/>
    </row>
    <row r="2" spans="1:8" x14ac:dyDescent="0.2">
      <c r="A2" s="112" t="s">
        <v>180</v>
      </c>
      <c r="B2" s="112"/>
      <c r="C2" s="112"/>
      <c r="D2" s="112"/>
      <c r="E2" s="112"/>
      <c r="F2" s="112"/>
      <c r="G2" s="112"/>
      <c r="H2" s="112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76" t="s">
        <v>181</v>
      </c>
      <c r="B4" s="76" t="s">
        <v>8</v>
      </c>
      <c r="C4" s="77">
        <v>4</v>
      </c>
      <c r="D4" s="76" t="s">
        <v>183</v>
      </c>
      <c r="E4" s="76" t="s">
        <v>184</v>
      </c>
      <c r="F4" s="75">
        <v>27840</v>
      </c>
      <c r="G4" s="74"/>
      <c r="H4" s="81">
        <f>F4-G4</f>
        <v>27840</v>
      </c>
    </row>
    <row r="5" spans="1:8" x14ac:dyDescent="0.2">
      <c r="A5" s="76" t="s">
        <v>181</v>
      </c>
      <c r="B5" s="76" t="s">
        <v>8</v>
      </c>
      <c r="C5" s="77">
        <v>5</v>
      </c>
      <c r="D5" s="76" t="s">
        <v>183</v>
      </c>
      <c r="E5" s="76" t="s">
        <v>185</v>
      </c>
      <c r="F5" s="75">
        <v>37120</v>
      </c>
      <c r="G5" s="74"/>
      <c r="H5" s="81">
        <f>H4+F5-G5</f>
        <v>64960</v>
      </c>
    </row>
    <row r="6" spans="1:8" x14ac:dyDescent="0.2">
      <c r="A6" s="101" t="s">
        <v>237</v>
      </c>
      <c r="B6" s="101" t="s">
        <v>8</v>
      </c>
      <c r="C6" s="102">
        <v>4</v>
      </c>
      <c r="D6" s="101" t="s">
        <v>183</v>
      </c>
      <c r="E6" s="101" t="s">
        <v>240</v>
      </c>
      <c r="F6" s="100">
        <v>23756.799999999999</v>
      </c>
      <c r="G6" s="95"/>
      <c r="H6" s="81">
        <f t="shared" ref="H6:H7" si="0">H5+F6-G6</f>
        <v>88716.800000000003</v>
      </c>
    </row>
    <row r="7" spans="1:8" x14ac:dyDescent="0.2">
      <c r="A7" s="101" t="s">
        <v>237</v>
      </c>
      <c r="B7" s="101" t="s">
        <v>8</v>
      </c>
      <c r="C7" s="102">
        <v>5</v>
      </c>
      <c r="D7" s="101" t="s">
        <v>183</v>
      </c>
      <c r="E7" s="101" t="s">
        <v>241</v>
      </c>
      <c r="F7" s="100">
        <v>35635.199999999997</v>
      </c>
      <c r="G7" s="95"/>
      <c r="H7" s="81">
        <f t="shared" si="0"/>
        <v>124352</v>
      </c>
    </row>
  </sheetData>
  <mergeCells count="2">
    <mergeCell ref="A1:H1"/>
    <mergeCell ref="A2:H2"/>
  </mergeCells>
  <pageMargins left="0.7" right="0.7" top="0.75" bottom="0.75" header="0.3" footer="0.3"/>
  <pageSetup paperSize="9"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3:H4"/>
  <sheetViews>
    <sheetView workbookViewId="0">
      <selection activeCell="D12" sqref="D12"/>
    </sheetView>
  </sheetViews>
  <sheetFormatPr baseColWidth="10" defaultRowHeight="12.75" x14ac:dyDescent="0.2"/>
  <cols>
    <col min="4" max="4" width="21.28515625" bestFit="1" customWidth="1"/>
    <col min="5" max="5" width="13" customWidth="1"/>
  </cols>
  <sheetData>
    <row r="3" spans="1:8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</row>
    <row r="4" spans="1:8" x14ac:dyDescent="0.2">
      <c r="A4" t="s">
        <v>237</v>
      </c>
      <c r="B4" t="s">
        <v>8</v>
      </c>
      <c r="C4">
        <v>7</v>
      </c>
      <c r="D4" t="s">
        <v>244</v>
      </c>
      <c r="E4" t="s">
        <v>245</v>
      </c>
      <c r="F4">
        <v>11368</v>
      </c>
      <c r="H4">
        <f>Tabla2[Cargos]</f>
        <v>11368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5"/>
  <sheetViews>
    <sheetView workbookViewId="0">
      <selection activeCell="G13" sqref="G13"/>
    </sheetView>
  </sheetViews>
  <sheetFormatPr baseColWidth="10" defaultRowHeight="12.75" x14ac:dyDescent="0.2"/>
  <cols>
    <col min="4" max="4" width="21.7109375" bestFit="1" customWidth="1"/>
  </cols>
  <sheetData>
    <row r="1" spans="1:8" x14ac:dyDescent="0.2">
      <c r="A1" s="110" t="s">
        <v>25</v>
      </c>
      <c r="B1" s="110"/>
      <c r="C1" s="110"/>
      <c r="D1" s="110"/>
      <c r="E1" s="110"/>
      <c r="F1" s="110"/>
      <c r="G1" s="110"/>
      <c r="H1" s="110"/>
    </row>
    <row r="2" spans="1:8" x14ac:dyDescent="0.2">
      <c r="A2" s="112" t="s">
        <v>180</v>
      </c>
      <c r="B2" s="112"/>
      <c r="C2" s="112"/>
      <c r="D2" s="112"/>
      <c r="E2" s="112"/>
      <c r="F2" s="112"/>
      <c r="G2" s="112"/>
      <c r="H2" s="112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63" t="s">
        <v>216</v>
      </c>
      <c r="B4" s="63" t="s">
        <v>8</v>
      </c>
      <c r="C4" s="64">
        <v>6</v>
      </c>
      <c r="D4" s="63" t="s">
        <v>217</v>
      </c>
      <c r="E4" s="63" t="s">
        <v>218</v>
      </c>
      <c r="F4" s="62">
        <v>48511.199999999997</v>
      </c>
      <c r="G4" s="63"/>
      <c r="H4" s="86">
        <f>F4</f>
        <v>48511.199999999997</v>
      </c>
    </row>
    <row r="5" spans="1:8" x14ac:dyDescent="0.2">
      <c r="A5" s="101" t="s">
        <v>253</v>
      </c>
      <c r="B5" s="101" t="s">
        <v>20</v>
      </c>
      <c r="C5" s="102">
        <v>3</v>
      </c>
      <c r="D5" s="101" t="s">
        <v>217</v>
      </c>
      <c r="E5" s="101" t="s">
        <v>255</v>
      </c>
      <c r="F5" s="95"/>
      <c r="G5" s="100">
        <v>48511.199999999997</v>
      </c>
      <c r="H5" s="86">
        <f>F5</f>
        <v>0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J8"/>
  <sheetViews>
    <sheetView workbookViewId="0">
      <selection activeCell="H7" sqref="H7"/>
    </sheetView>
  </sheetViews>
  <sheetFormatPr baseColWidth="10" defaultRowHeight="12" x14ac:dyDescent="0.2"/>
  <cols>
    <col min="1" max="3" width="11.42578125" style="9"/>
    <col min="4" max="4" width="34.28515625" style="9" bestFit="1" customWidth="1"/>
    <col min="5" max="7" width="11.42578125" style="9"/>
    <col min="8" max="8" width="11.42578125" style="21"/>
    <col min="9" max="16384" width="11.42578125" style="9"/>
  </cols>
  <sheetData>
    <row r="1" spans="1:10" x14ac:dyDescent="0.2">
      <c r="A1" s="110" t="s">
        <v>25</v>
      </c>
      <c r="B1" s="110"/>
      <c r="C1" s="110"/>
      <c r="D1" s="110"/>
      <c r="E1" s="110"/>
      <c r="F1" s="110"/>
      <c r="G1" s="110"/>
      <c r="H1" s="110"/>
    </row>
    <row r="2" spans="1:10" x14ac:dyDescent="0.2">
      <c r="A2" s="112" t="s">
        <v>180</v>
      </c>
      <c r="B2" s="112"/>
      <c r="C2" s="112"/>
      <c r="D2" s="112"/>
      <c r="E2" s="112"/>
      <c r="F2" s="112"/>
      <c r="G2" s="112"/>
      <c r="H2" s="112"/>
    </row>
    <row r="3" spans="1:10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10" ht="12.75" x14ac:dyDescent="0.2">
      <c r="A4" s="6" t="s">
        <v>37</v>
      </c>
      <c r="B4" s="6" t="s">
        <v>8</v>
      </c>
      <c r="C4" s="7">
        <v>3</v>
      </c>
      <c r="D4" s="6" t="s">
        <v>19</v>
      </c>
      <c r="E4" s="6" t="s">
        <v>38</v>
      </c>
      <c r="F4" s="8">
        <v>14616</v>
      </c>
      <c r="G4" s="6"/>
      <c r="H4" s="21">
        <f>F4</f>
        <v>14616</v>
      </c>
      <c r="I4" s="41" t="s">
        <v>108</v>
      </c>
    </row>
    <row r="5" spans="1:10" x14ac:dyDescent="0.2">
      <c r="A5" s="63" t="s">
        <v>138</v>
      </c>
      <c r="B5" s="63" t="s">
        <v>8</v>
      </c>
      <c r="C5" s="64">
        <v>2</v>
      </c>
      <c r="D5" s="63" t="s">
        <v>19</v>
      </c>
      <c r="E5" s="63" t="s">
        <v>38</v>
      </c>
      <c r="F5" s="65">
        <v>-14616</v>
      </c>
      <c r="G5" s="63"/>
      <c r="H5" s="21">
        <f>H4+F5-G5</f>
        <v>0</v>
      </c>
      <c r="I5" s="9" t="s">
        <v>165</v>
      </c>
      <c r="J5" s="9" t="s">
        <v>177</v>
      </c>
    </row>
    <row r="6" spans="1:10" x14ac:dyDescent="0.2">
      <c r="A6" s="63" t="s">
        <v>134</v>
      </c>
      <c r="B6" s="63" t="s">
        <v>8</v>
      </c>
      <c r="C6" s="64">
        <v>4</v>
      </c>
      <c r="D6" s="63" t="s">
        <v>19</v>
      </c>
      <c r="E6" s="63" t="s">
        <v>135</v>
      </c>
      <c r="F6" s="62">
        <v>236466</v>
      </c>
      <c r="G6" s="63"/>
      <c r="H6" s="21">
        <f t="shared" ref="H6:H8" si="0">H5+F6-G6</f>
        <v>236466</v>
      </c>
    </row>
    <row r="7" spans="1:10" x14ac:dyDescent="0.2">
      <c r="A7" s="63" t="s">
        <v>155</v>
      </c>
      <c r="B7" s="63" t="s">
        <v>20</v>
      </c>
      <c r="C7" s="64">
        <v>9</v>
      </c>
      <c r="D7" s="63" t="s">
        <v>156</v>
      </c>
      <c r="E7" s="63" t="s">
        <v>157</v>
      </c>
      <c r="F7" s="63"/>
      <c r="G7" s="62">
        <v>14616</v>
      </c>
      <c r="H7" s="21">
        <f t="shared" si="0"/>
        <v>221850</v>
      </c>
      <c r="I7" s="9" t="s">
        <v>160</v>
      </c>
    </row>
    <row r="8" spans="1:10" ht="12.75" x14ac:dyDescent="0.2">
      <c r="A8" s="63" t="s">
        <v>167</v>
      </c>
      <c r="B8" s="63" t="s">
        <v>8</v>
      </c>
      <c r="C8" s="64">
        <v>4</v>
      </c>
      <c r="D8" s="63" t="s">
        <v>19</v>
      </c>
      <c r="E8" s="63" t="s">
        <v>157</v>
      </c>
      <c r="F8" s="62">
        <v>14616</v>
      </c>
      <c r="G8" s="70"/>
      <c r="H8" s="21">
        <f t="shared" si="0"/>
        <v>236466</v>
      </c>
    </row>
  </sheetData>
  <mergeCells count="2">
    <mergeCell ref="A1:H1"/>
    <mergeCell ref="A2:H2"/>
  </mergeCells>
  <hyperlinks>
    <hyperlink ref="I4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H5"/>
  <sheetViews>
    <sheetView workbookViewId="0">
      <selection sqref="A1:H3"/>
    </sheetView>
  </sheetViews>
  <sheetFormatPr baseColWidth="10" defaultRowHeight="12.75" x14ac:dyDescent="0.2"/>
  <sheetData>
    <row r="1" spans="1:8" x14ac:dyDescent="0.2">
      <c r="A1" s="110" t="s">
        <v>25</v>
      </c>
      <c r="B1" s="110"/>
      <c r="C1" s="110"/>
      <c r="D1" s="110"/>
      <c r="E1" s="110"/>
      <c r="F1" s="110"/>
      <c r="G1" s="110"/>
      <c r="H1" s="110"/>
    </row>
    <row r="2" spans="1:8" x14ac:dyDescent="0.2">
      <c r="A2" s="112" t="s">
        <v>180</v>
      </c>
      <c r="B2" s="112"/>
      <c r="C2" s="112"/>
      <c r="D2" s="112"/>
      <c r="E2" s="112"/>
      <c r="F2" s="112"/>
      <c r="G2" s="112"/>
      <c r="H2" s="112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76" t="s">
        <v>194</v>
      </c>
      <c r="B4" s="76" t="s">
        <v>8</v>
      </c>
      <c r="C4" s="77">
        <v>20</v>
      </c>
      <c r="D4" s="76" t="s">
        <v>195</v>
      </c>
      <c r="E4" s="76" t="s">
        <v>196</v>
      </c>
      <c r="F4" s="75">
        <v>230728.64</v>
      </c>
      <c r="G4" s="74"/>
      <c r="H4" s="81">
        <f>F4-G4</f>
        <v>230728.64</v>
      </c>
    </row>
    <row r="5" spans="1:8" x14ac:dyDescent="0.2">
      <c r="H5" s="81"/>
    </row>
  </sheetData>
  <mergeCells count="2">
    <mergeCell ref="A1:H1"/>
    <mergeCell ref="A2:H2"/>
  </mergeCells>
  <pageMargins left="0.7" right="0.7" top="0.75" bottom="0.75" header="0.3" footer="0.3"/>
  <pageSetup paperSize="9"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H4"/>
  <sheetViews>
    <sheetView workbookViewId="0">
      <selection activeCell="D4" sqref="D4"/>
    </sheetView>
  </sheetViews>
  <sheetFormatPr baseColWidth="10" defaultRowHeight="12.75" x14ac:dyDescent="0.2"/>
  <cols>
    <col min="4" max="4" width="17.42578125" bestFit="1" customWidth="1"/>
  </cols>
  <sheetData>
    <row r="1" spans="1:8" x14ac:dyDescent="0.2">
      <c r="A1" s="110" t="s">
        <v>25</v>
      </c>
      <c r="B1" s="110"/>
      <c r="C1" s="110"/>
      <c r="D1" s="110"/>
      <c r="E1" s="110"/>
      <c r="F1" s="110"/>
      <c r="G1" s="110"/>
      <c r="H1" s="110"/>
    </row>
    <row r="2" spans="1:8" x14ac:dyDescent="0.2">
      <c r="A2" s="112" t="s">
        <v>180</v>
      </c>
      <c r="B2" s="112"/>
      <c r="C2" s="112"/>
      <c r="D2" s="112"/>
      <c r="E2" s="112"/>
      <c r="F2" s="112"/>
      <c r="G2" s="112"/>
      <c r="H2" s="112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63" t="s">
        <v>213</v>
      </c>
      <c r="B4" s="63" t="s">
        <v>8</v>
      </c>
      <c r="C4" s="64">
        <v>5</v>
      </c>
      <c r="D4" s="63" t="s">
        <v>214</v>
      </c>
      <c r="E4" s="63" t="s">
        <v>215</v>
      </c>
      <c r="F4" s="62">
        <v>49999.99</v>
      </c>
      <c r="G4" s="63"/>
      <c r="H4" s="86">
        <f>F4</f>
        <v>49999.99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I33"/>
  <sheetViews>
    <sheetView workbookViewId="0">
      <selection activeCell="H36" sqref="H36"/>
    </sheetView>
  </sheetViews>
  <sheetFormatPr baseColWidth="10" defaultRowHeight="12.75" x14ac:dyDescent="0.2"/>
  <cols>
    <col min="1" max="3" width="11.42578125" style="3"/>
    <col min="4" max="4" width="19.42578125" style="3" bestFit="1" customWidth="1"/>
    <col min="5" max="16384" width="11.42578125" style="3"/>
  </cols>
  <sheetData>
    <row r="1" spans="1:8" x14ac:dyDescent="0.2">
      <c r="A1" s="110" t="s">
        <v>25</v>
      </c>
      <c r="B1" s="110"/>
      <c r="C1" s="110"/>
      <c r="D1" s="110"/>
      <c r="E1" s="110"/>
      <c r="F1" s="110"/>
      <c r="G1" s="110"/>
      <c r="H1" s="110"/>
    </row>
    <row r="2" spans="1:8" x14ac:dyDescent="0.2">
      <c r="A2" s="112" t="s">
        <v>180</v>
      </c>
      <c r="B2" s="112"/>
      <c r="C2" s="112"/>
      <c r="D2" s="112"/>
      <c r="E2" s="112"/>
      <c r="F2" s="112"/>
      <c r="G2" s="112"/>
      <c r="H2" s="112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14" t="s">
        <v>23</v>
      </c>
      <c r="B4" s="14" t="s">
        <v>8</v>
      </c>
      <c r="C4" s="15">
        <v>6</v>
      </c>
      <c r="D4" s="14" t="s">
        <v>12</v>
      </c>
      <c r="E4" s="14" t="s">
        <v>24</v>
      </c>
      <c r="F4" s="16">
        <v>42602.16</v>
      </c>
      <c r="G4" s="17"/>
      <c r="H4" s="12">
        <f>F4</f>
        <v>42602.16</v>
      </c>
    </row>
    <row r="5" spans="1:8" x14ac:dyDescent="0.2">
      <c r="A5" s="10" t="s">
        <v>43</v>
      </c>
      <c r="B5" s="10" t="s">
        <v>20</v>
      </c>
      <c r="C5" s="11">
        <v>4</v>
      </c>
      <c r="D5" s="10" t="s">
        <v>13</v>
      </c>
      <c r="E5" s="10" t="s">
        <v>24</v>
      </c>
      <c r="F5" s="4"/>
      <c r="G5" s="5">
        <v>42602.16</v>
      </c>
      <c r="H5" s="12">
        <f t="shared" ref="H5:H33" si="0">H4+F5-G5</f>
        <v>0</v>
      </c>
    </row>
    <row r="6" spans="1:8" x14ac:dyDescent="0.2">
      <c r="A6" s="14" t="s">
        <v>66</v>
      </c>
      <c r="B6" s="14" t="s">
        <v>8</v>
      </c>
      <c r="C6" s="15">
        <v>24</v>
      </c>
      <c r="D6" s="14" t="s">
        <v>12</v>
      </c>
      <c r="E6" s="14" t="s">
        <v>67</v>
      </c>
      <c r="F6" s="16">
        <v>83462.13</v>
      </c>
      <c r="G6" s="14"/>
      <c r="H6" s="12">
        <f t="shared" si="0"/>
        <v>83462.13</v>
      </c>
    </row>
    <row r="7" spans="1:8" x14ac:dyDescent="0.2">
      <c r="A7" s="10" t="s">
        <v>86</v>
      </c>
      <c r="B7" s="10" t="s">
        <v>20</v>
      </c>
      <c r="C7" s="11">
        <v>6</v>
      </c>
      <c r="D7" s="10" t="s">
        <v>13</v>
      </c>
      <c r="E7" s="10" t="s">
        <v>67</v>
      </c>
      <c r="F7" s="10"/>
      <c r="G7" s="5">
        <v>83462.13</v>
      </c>
      <c r="H7" s="12">
        <f t="shared" si="0"/>
        <v>0</v>
      </c>
    </row>
    <row r="8" spans="1:8" x14ac:dyDescent="0.2">
      <c r="A8" s="14" t="s">
        <v>41</v>
      </c>
      <c r="B8" s="14" t="s">
        <v>8</v>
      </c>
      <c r="C8" s="15">
        <v>13</v>
      </c>
      <c r="D8" s="14" t="s">
        <v>12</v>
      </c>
      <c r="E8" s="14" t="s">
        <v>42</v>
      </c>
      <c r="F8" s="16">
        <v>73683.199999999997</v>
      </c>
      <c r="G8" s="17"/>
      <c r="H8" s="12">
        <f t="shared" si="0"/>
        <v>73683.199999999997</v>
      </c>
    </row>
    <row r="9" spans="1:8" x14ac:dyDescent="0.2">
      <c r="A9" s="10" t="s">
        <v>49</v>
      </c>
      <c r="B9" s="10" t="s">
        <v>20</v>
      </c>
      <c r="C9" s="11">
        <v>6</v>
      </c>
      <c r="D9" s="10" t="s">
        <v>13</v>
      </c>
      <c r="E9" s="10" t="s">
        <v>42</v>
      </c>
      <c r="F9" s="10"/>
      <c r="G9" s="5">
        <v>73683.199999999997</v>
      </c>
      <c r="H9" s="12">
        <f t="shared" si="0"/>
        <v>0</v>
      </c>
    </row>
    <row r="10" spans="1:8" x14ac:dyDescent="0.2">
      <c r="A10" s="14" t="s">
        <v>44</v>
      </c>
      <c r="B10" s="14" t="s">
        <v>8</v>
      </c>
      <c r="C10" s="15">
        <v>1</v>
      </c>
      <c r="D10" s="14" t="s">
        <v>12</v>
      </c>
      <c r="E10" s="14" t="s">
        <v>45</v>
      </c>
      <c r="F10" s="16">
        <v>124393.47</v>
      </c>
      <c r="G10" s="17"/>
      <c r="H10" s="12">
        <f t="shared" si="0"/>
        <v>124393.47</v>
      </c>
    </row>
    <row r="11" spans="1:8" x14ac:dyDescent="0.2">
      <c r="A11" s="10" t="s">
        <v>61</v>
      </c>
      <c r="B11" s="10" t="s">
        <v>20</v>
      </c>
      <c r="C11" s="11">
        <v>6</v>
      </c>
      <c r="D11" s="10" t="s">
        <v>13</v>
      </c>
      <c r="E11" s="10" t="s">
        <v>45</v>
      </c>
      <c r="F11" s="10"/>
      <c r="G11" s="5">
        <v>124393.47</v>
      </c>
      <c r="H11" s="12">
        <f t="shared" si="0"/>
        <v>0</v>
      </c>
    </row>
    <row r="12" spans="1:8" x14ac:dyDescent="0.2">
      <c r="A12" s="14" t="s">
        <v>82</v>
      </c>
      <c r="B12" s="14" t="s">
        <v>8</v>
      </c>
      <c r="C12" s="15">
        <v>12</v>
      </c>
      <c r="D12" s="14" t="s">
        <v>12</v>
      </c>
      <c r="E12" s="14" t="s">
        <v>83</v>
      </c>
      <c r="F12" s="16">
        <v>49648</v>
      </c>
      <c r="G12" s="14"/>
      <c r="H12" s="12">
        <f t="shared" si="0"/>
        <v>49648</v>
      </c>
    </row>
    <row r="13" spans="1:8" x14ac:dyDescent="0.2">
      <c r="A13" s="14" t="s">
        <v>101</v>
      </c>
      <c r="B13" s="14" t="s">
        <v>20</v>
      </c>
      <c r="C13" s="15">
        <v>1</v>
      </c>
      <c r="D13" s="14" t="s">
        <v>13</v>
      </c>
      <c r="E13" s="14" t="s">
        <v>83</v>
      </c>
      <c r="F13" s="14"/>
      <c r="G13" s="16">
        <v>49648</v>
      </c>
      <c r="H13" s="12">
        <f t="shared" si="0"/>
        <v>0</v>
      </c>
    </row>
    <row r="14" spans="1:8" x14ac:dyDescent="0.2">
      <c r="A14" s="14" t="s">
        <v>97</v>
      </c>
      <c r="B14" s="14" t="s">
        <v>8</v>
      </c>
      <c r="C14" s="15">
        <v>13</v>
      </c>
      <c r="D14" s="14" t="s">
        <v>12</v>
      </c>
      <c r="E14" s="14" t="s">
        <v>98</v>
      </c>
      <c r="F14" s="16">
        <v>20648</v>
      </c>
      <c r="G14" s="14"/>
      <c r="H14" s="12">
        <f t="shared" si="0"/>
        <v>20648</v>
      </c>
    </row>
    <row r="15" spans="1:8" x14ac:dyDescent="0.2">
      <c r="A15" s="48" t="s">
        <v>120</v>
      </c>
      <c r="B15" s="48" t="s">
        <v>20</v>
      </c>
      <c r="C15" s="49">
        <v>7</v>
      </c>
      <c r="D15" s="48" t="s">
        <v>13</v>
      </c>
      <c r="E15" s="48" t="s">
        <v>98</v>
      </c>
      <c r="F15" s="48"/>
      <c r="G15" s="50">
        <v>20648</v>
      </c>
      <c r="H15" s="12">
        <f t="shared" si="0"/>
        <v>0</v>
      </c>
    </row>
    <row r="16" spans="1:8" x14ac:dyDescent="0.2">
      <c r="A16" s="14" t="s">
        <v>99</v>
      </c>
      <c r="B16" s="14" t="s">
        <v>8</v>
      </c>
      <c r="C16" s="15">
        <v>24</v>
      </c>
      <c r="D16" s="14" t="s">
        <v>12</v>
      </c>
      <c r="E16" s="14" t="s">
        <v>100</v>
      </c>
      <c r="F16" s="16">
        <v>27445.599999999999</v>
      </c>
      <c r="G16" s="14"/>
      <c r="H16" s="12">
        <f t="shared" si="0"/>
        <v>27445.599999999999</v>
      </c>
    </row>
    <row r="17" spans="1:9" x14ac:dyDescent="0.2">
      <c r="A17" s="14" t="s">
        <v>127</v>
      </c>
      <c r="B17" s="14" t="s">
        <v>20</v>
      </c>
      <c r="C17" s="15">
        <v>8</v>
      </c>
      <c r="D17" s="14" t="s">
        <v>13</v>
      </c>
      <c r="E17" s="14" t="s">
        <v>100</v>
      </c>
      <c r="F17" s="14"/>
      <c r="G17" s="16">
        <v>27445.599999999999</v>
      </c>
      <c r="H17" s="12">
        <f t="shared" si="0"/>
        <v>0</v>
      </c>
    </row>
    <row r="18" spans="1:9" x14ac:dyDescent="0.2">
      <c r="A18" s="14" t="s">
        <v>102</v>
      </c>
      <c r="B18" s="14" t="s">
        <v>8</v>
      </c>
      <c r="C18" s="15">
        <v>27</v>
      </c>
      <c r="D18" s="14" t="s">
        <v>12</v>
      </c>
      <c r="E18" s="14" t="s">
        <v>103</v>
      </c>
      <c r="F18" s="16">
        <v>55641.42</v>
      </c>
      <c r="G18" s="14"/>
      <c r="H18" s="12">
        <f t="shared" si="0"/>
        <v>55641.42</v>
      </c>
    </row>
    <row r="19" spans="1:9" x14ac:dyDescent="0.2">
      <c r="A19" s="14" t="s">
        <v>128</v>
      </c>
      <c r="B19" s="14" t="s">
        <v>20</v>
      </c>
      <c r="C19" s="15">
        <v>10</v>
      </c>
      <c r="D19" s="14" t="s">
        <v>13</v>
      </c>
      <c r="E19" s="14" t="s">
        <v>103</v>
      </c>
      <c r="F19" s="14"/>
      <c r="G19" s="16">
        <v>55641.42</v>
      </c>
      <c r="H19" s="12">
        <f t="shared" si="0"/>
        <v>0</v>
      </c>
    </row>
    <row r="20" spans="1:9" x14ac:dyDescent="0.2">
      <c r="A20" s="48" t="s">
        <v>110</v>
      </c>
      <c r="B20" s="48" t="s">
        <v>8</v>
      </c>
      <c r="C20" s="49">
        <v>5</v>
      </c>
      <c r="D20" s="48" t="s">
        <v>12</v>
      </c>
      <c r="E20" s="48" t="s">
        <v>111</v>
      </c>
      <c r="F20" s="50">
        <v>27820.71</v>
      </c>
      <c r="G20" s="48"/>
      <c r="H20" s="12">
        <f t="shared" si="0"/>
        <v>27820.71</v>
      </c>
    </row>
    <row r="21" spans="1:9" x14ac:dyDescent="0.2">
      <c r="A21" s="48" t="s">
        <v>139</v>
      </c>
      <c r="B21" s="48" t="s">
        <v>20</v>
      </c>
      <c r="C21" s="49">
        <v>3</v>
      </c>
      <c r="D21" s="48" t="s">
        <v>13</v>
      </c>
      <c r="E21" s="48" t="s">
        <v>111</v>
      </c>
      <c r="F21" s="48"/>
      <c r="G21" s="50">
        <v>27820.71</v>
      </c>
      <c r="H21" s="12">
        <f t="shared" si="0"/>
        <v>0</v>
      </c>
    </row>
    <row r="22" spans="1:9" x14ac:dyDescent="0.2">
      <c r="A22" s="48" t="s">
        <v>115</v>
      </c>
      <c r="B22" s="48" t="s">
        <v>8</v>
      </c>
      <c r="C22" s="49">
        <v>12</v>
      </c>
      <c r="D22" s="48" t="s">
        <v>12</v>
      </c>
      <c r="E22" s="48" t="s">
        <v>116</v>
      </c>
      <c r="F22" s="50">
        <v>83462.13</v>
      </c>
      <c r="G22" s="48"/>
      <c r="H22" s="12">
        <f t="shared" si="0"/>
        <v>83462.13</v>
      </c>
    </row>
    <row r="23" spans="1:9" x14ac:dyDescent="0.2">
      <c r="A23" s="48" t="s">
        <v>153</v>
      </c>
      <c r="B23" s="48" t="s">
        <v>20</v>
      </c>
      <c r="C23" s="49">
        <v>6</v>
      </c>
      <c r="D23" s="48" t="s">
        <v>13</v>
      </c>
      <c r="E23" s="48" t="s">
        <v>116</v>
      </c>
      <c r="F23" s="48"/>
      <c r="G23" s="50">
        <v>83462.13</v>
      </c>
      <c r="H23" s="12">
        <f t="shared" si="0"/>
        <v>0</v>
      </c>
    </row>
    <row r="24" spans="1:9" x14ac:dyDescent="0.2">
      <c r="A24" s="14" t="s">
        <v>125</v>
      </c>
      <c r="B24" s="14" t="s">
        <v>8</v>
      </c>
      <c r="C24" s="15">
        <v>8</v>
      </c>
      <c r="D24" s="14" t="s">
        <v>12</v>
      </c>
      <c r="E24" s="14" t="s">
        <v>126</v>
      </c>
      <c r="F24" s="16">
        <v>22736</v>
      </c>
      <c r="G24" s="14"/>
      <c r="H24" s="12">
        <f t="shared" si="0"/>
        <v>22736</v>
      </c>
    </row>
    <row r="25" spans="1:9" x14ac:dyDescent="0.2">
      <c r="A25" s="48" t="s">
        <v>168</v>
      </c>
      <c r="B25" s="48" t="s">
        <v>20</v>
      </c>
      <c r="C25" s="49">
        <v>5</v>
      </c>
      <c r="D25" s="48" t="s">
        <v>13</v>
      </c>
      <c r="E25" s="48" t="s">
        <v>126</v>
      </c>
      <c r="F25" s="71"/>
      <c r="G25" s="50">
        <v>22736</v>
      </c>
      <c r="H25" s="12">
        <f t="shared" si="0"/>
        <v>0</v>
      </c>
      <c r="I25" s="41" t="s">
        <v>108</v>
      </c>
    </row>
    <row r="26" spans="1:9" x14ac:dyDescent="0.2">
      <c r="A26" s="48" t="s">
        <v>136</v>
      </c>
      <c r="B26" s="48" t="s">
        <v>8</v>
      </c>
      <c r="C26" s="49">
        <v>6</v>
      </c>
      <c r="D26" s="48" t="s">
        <v>12</v>
      </c>
      <c r="E26" s="48" t="s">
        <v>137</v>
      </c>
      <c r="F26" s="50">
        <v>27445.599999999999</v>
      </c>
      <c r="G26" s="48"/>
      <c r="H26" s="12">
        <f t="shared" si="0"/>
        <v>27445.599999999999</v>
      </c>
    </row>
    <row r="27" spans="1:9" x14ac:dyDescent="0.2">
      <c r="A27" s="14" t="s">
        <v>187</v>
      </c>
      <c r="B27" s="14" t="s">
        <v>20</v>
      </c>
      <c r="C27" s="15">
        <v>2</v>
      </c>
      <c r="D27" s="14" t="s">
        <v>13</v>
      </c>
      <c r="E27" s="14" t="s">
        <v>137</v>
      </c>
      <c r="F27" s="17"/>
      <c r="G27" s="16">
        <v>27445.599999999999</v>
      </c>
      <c r="H27" s="12">
        <f t="shared" si="0"/>
        <v>0</v>
      </c>
    </row>
    <row r="28" spans="1:9" x14ac:dyDescent="0.2">
      <c r="A28" s="48" t="s">
        <v>169</v>
      </c>
      <c r="B28" s="48" t="s">
        <v>8</v>
      </c>
      <c r="C28" s="49">
        <v>7</v>
      </c>
      <c r="D28" s="48" t="s">
        <v>12</v>
      </c>
      <c r="E28" s="48" t="s">
        <v>170</v>
      </c>
      <c r="F28" s="50">
        <v>82336.800000000003</v>
      </c>
      <c r="G28" s="71"/>
      <c r="H28" s="12">
        <f t="shared" si="0"/>
        <v>82336.800000000003</v>
      </c>
    </row>
    <row r="29" spans="1:9" x14ac:dyDescent="0.2">
      <c r="A29" s="63" t="s">
        <v>210</v>
      </c>
      <c r="B29" s="63" t="s">
        <v>20</v>
      </c>
      <c r="C29" s="64">
        <v>3</v>
      </c>
      <c r="D29" s="63" t="s">
        <v>13</v>
      </c>
      <c r="E29" s="63" t="s">
        <v>170</v>
      </c>
      <c r="F29" s="63"/>
      <c r="G29" s="62">
        <v>82336.800000000003</v>
      </c>
      <c r="H29" s="12">
        <f t="shared" si="0"/>
        <v>0</v>
      </c>
    </row>
    <row r="30" spans="1:9" x14ac:dyDescent="0.2">
      <c r="A30" s="101" t="s">
        <v>237</v>
      </c>
      <c r="B30" s="101" t="s">
        <v>8</v>
      </c>
      <c r="C30" s="102">
        <v>2</v>
      </c>
      <c r="D30" s="101" t="s">
        <v>12</v>
      </c>
      <c r="E30" s="101" t="s">
        <v>238</v>
      </c>
      <c r="F30" s="100">
        <v>238825.44</v>
      </c>
      <c r="G30" s="95"/>
      <c r="H30" s="12">
        <f t="shared" si="0"/>
        <v>238825.44</v>
      </c>
    </row>
    <row r="31" spans="1:9" x14ac:dyDescent="0.2">
      <c r="A31" s="101" t="s">
        <v>237</v>
      </c>
      <c r="B31" s="101" t="s">
        <v>8</v>
      </c>
      <c r="C31" s="102">
        <v>3</v>
      </c>
      <c r="D31" s="101" t="s">
        <v>12</v>
      </c>
      <c r="E31" s="101" t="s">
        <v>239</v>
      </c>
      <c r="F31" s="100">
        <v>105908</v>
      </c>
      <c r="G31" s="95"/>
      <c r="H31" s="12">
        <f t="shared" si="0"/>
        <v>344733.44</v>
      </c>
    </row>
    <row r="32" spans="1:9" x14ac:dyDescent="0.2">
      <c r="A32" s="101" t="s">
        <v>253</v>
      </c>
      <c r="B32" s="101" t="s">
        <v>8</v>
      </c>
      <c r="C32" s="102">
        <v>13</v>
      </c>
      <c r="D32" s="101" t="s">
        <v>12</v>
      </c>
      <c r="E32" s="101" t="s">
        <v>254</v>
      </c>
      <c r="F32" s="100">
        <v>54891.199999999997</v>
      </c>
      <c r="G32" s="95"/>
      <c r="H32" s="12">
        <f t="shared" si="0"/>
        <v>399624.64</v>
      </c>
    </row>
    <row r="33" spans="1:8" x14ac:dyDescent="0.2">
      <c r="A33" s="101" t="s">
        <v>260</v>
      </c>
      <c r="B33" s="101" t="s">
        <v>8</v>
      </c>
      <c r="C33" s="102">
        <v>17</v>
      </c>
      <c r="D33" s="101" t="s">
        <v>12</v>
      </c>
      <c r="E33" s="101" t="s">
        <v>262</v>
      </c>
      <c r="F33" s="100">
        <v>330368</v>
      </c>
      <c r="G33" s="95"/>
      <c r="H33" s="12">
        <f t="shared" si="0"/>
        <v>729992.64</v>
      </c>
    </row>
  </sheetData>
  <mergeCells count="2">
    <mergeCell ref="A1:H1"/>
    <mergeCell ref="A2:H2"/>
  </mergeCells>
  <hyperlinks>
    <hyperlink ref="I25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I10"/>
  <sheetViews>
    <sheetView workbookViewId="0">
      <selection activeCell="I8" sqref="I8"/>
    </sheetView>
  </sheetViews>
  <sheetFormatPr baseColWidth="10" defaultRowHeight="12.75" x14ac:dyDescent="0.2"/>
  <cols>
    <col min="4" max="4" width="23" bestFit="1" customWidth="1"/>
  </cols>
  <sheetData>
    <row r="1" spans="1:9" x14ac:dyDescent="0.2">
      <c r="A1" s="110" t="s">
        <v>25</v>
      </c>
      <c r="B1" s="110"/>
      <c r="C1" s="110"/>
      <c r="D1" s="110"/>
      <c r="E1" s="110"/>
      <c r="F1" s="110"/>
      <c r="G1" s="110"/>
      <c r="H1" s="110"/>
    </row>
    <row r="2" spans="1:9" x14ac:dyDescent="0.2">
      <c r="A2" s="112" t="s">
        <v>180</v>
      </c>
      <c r="B2" s="112"/>
      <c r="C2" s="112"/>
      <c r="D2" s="112"/>
      <c r="E2" s="112"/>
      <c r="F2" s="112"/>
      <c r="G2" s="112"/>
      <c r="H2" s="112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6" t="s">
        <v>75</v>
      </c>
      <c r="B4" s="6" t="s">
        <v>8</v>
      </c>
      <c r="C4" s="7">
        <v>6</v>
      </c>
      <c r="D4" s="6" t="s">
        <v>76</v>
      </c>
      <c r="E4" s="6" t="s">
        <v>77</v>
      </c>
      <c r="F4" s="8">
        <v>31800</v>
      </c>
      <c r="G4" s="6"/>
      <c r="H4" s="16">
        <f>F4</f>
        <v>31800</v>
      </c>
    </row>
    <row r="5" spans="1:9" x14ac:dyDescent="0.2">
      <c r="A5" s="6" t="s">
        <v>80</v>
      </c>
      <c r="B5" s="6" t="s">
        <v>20</v>
      </c>
      <c r="C5" s="7">
        <v>3</v>
      </c>
      <c r="D5" s="6" t="s">
        <v>81</v>
      </c>
      <c r="E5" s="6" t="s">
        <v>77</v>
      </c>
      <c r="F5" s="6"/>
      <c r="G5" s="8">
        <v>31300</v>
      </c>
      <c r="H5" s="16">
        <f>H4+F5-G5</f>
        <v>500</v>
      </c>
    </row>
    <row r="6" spans="1:9" x14ac:dyDescent="0.2">
      <c r="A6" s="14" t="s">
        <v>78</v>
      </c>
      <c r="B6" s="14" t="s">
        <v>8</v>
      </c>
      <c r="C6" s="15">
        <v>7</v>
      </c>
      <c r="D6" s="14" t="s">
        <v>76</v>
      </c>
      <c r="E6" s="14" t="s">
        <v>79</v>
      </c>
      <c r="F6" s="16">
        <v>22080</v>
      </c>
      <c r="G6" s="14"/>
      <c r="H6" s="16">
        <f>H5+F6-G6</f>
        <v>22580</v>
      </c>
    </row>
    <row r="7" spans="1:9" x14ac:dyDescent="0.2">
      <c r="A7" s="14" t="s">
        <v>80</v>
      </c>
      <c r="B7" s="14" t="s">
        <v>20</v>
      </c>
      <c r="C7" s="15">
        <v>3</v>
      </c>
      <c r="D7" s="14" t="s">
        <v>81</v>
      </c>
      <c r="E7" s="14" t="s">
        <v>79</v>
      </c>
      <c r="F7" s="14"/>
      <c r="G7" s="16">
        <v>22080</v>
      </c>
      <c r="H7" s="16">
        <f>H6+F7-G7</f>
        <v>500</v>
      </c>
    </row>
    <row r="8" spans="1:9" x14ac:dyDescent="0.2">
      <c r="A8" s="42" t="s">
        <v>113</v>
      </c>
      <c r="B8" s="42" t="s">
        <v>8</v>
      </c>
      <c r="C8" s="44">
        <v>10</v>
      </c>
      <c r="D8" s="42" t="s">
        <v>76</v>
      </c>
      <c r="E8" s="42" t="s">
        <v>114</v>
      </c>
      <c r="F8" s="43">
        <v>33000</v>
      </c>
      <c r="G8" s="42"/>
      <c r="H8" s="16">
        <f>H7+F8-G8</f>
        <v>33500</v>
      </c>
      <c r="I8" s="41" t="s">
        <v>108</v>
      </c>
    </row>
    <row r="9" spans="1:9" x14ac:dyDescent="0.2">
      <c r="A9" s="56" t="s">
        <v>123</v>
      </c>
      <c r="B9" s="56" t="s">
        <v>20</v>
      </c>
      <c r="C9" s="57">
        <v>1</v>
      </c>
      <c r="D9" s="56" t="s">
        <v>81</v>
      </c>
      <c r="E9" s="56" t="s">
        <v>114</v>
      </c>
      <c r="F9" s="56"/>
      <c r="G9" s="55">
        <v>33000</v>
      </c>
      <c r="H9" s="16">
        <f>H8+F9-G9</f>
        <v>500</v>
      </c>
    </row>
    <row r="10" spans="1:9" x14ac:dyDescent="0.2">
      <c r="A10" s="58"/>
      <c r="B10" s="58"/>
      <c r="C10" s="58"/>
      <c r="D10" s="58"/>
      <c r="E10" s="9"/>
      <c r="F10" s="9"/>
      <c r="G10" s="9"/>
    </row>
  </sheetData>
  <mergeCells count="2">
    <mergeCell ref="A1:H1"/>
    <mergeCell ref="A2:H2"/>
  </mergeCells>
  <hyperlinks>
    <hyperlink ref="I8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3:H5"/>
  <sheetViews>
    <sheetView workbookViewId="0">
      <selection activeCell="C13" sqref="C13"/>
    </sheetView>
  </sheetViews>
  <sheetFormatPr baseColWidth="10" defaultRowHeight="12.75" x14ac:dyDescent="0.2"/>
  <cols>
    <col min="4" max="4" width="11.7109375" customWidth="1"/>
    <col min="5" max="5" width="13" customWidth="1"/>
  </cols>
  <sheetData>
    <row r="3" spans="1:8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</row>
    <row r="4" spans="1:8" x14ac:dyDescent="0.2">
      <c r="A4" t="s">
        <v>246</v>
      </c>
      <c r="B4" t="s">
        <v>8</v>
      </c>
      <c r="C4">
        <v>10</v>
      </c>
      <c r="D4" t="s">
        <v>247</v>
      </c>
      <c r="E4" t="s">
        <v>249</v>
      </c>
      <c r="F4">
        <v>66014.210000000006</v>
      </c>
      <c r="H4">
        <f>Tabla3[[#This Row],[Cargos]]</f>
        <v>66014.210000000006</v>
      </c>
    </row>
    <row r="5" spans="1:8" x14ac:dyDescent="0.2">
      <c r="A5" t="s">
        <v>246</v>
      </c>
      <c r="B5" t="s">
        <v>8</v>
      </c>
      <c r="C5">
        <v>9</v>
      </c>
      <c r="D5" t="s">
        <v>247</v>
      </c>
      <c r="E5" t="s">
        <v>248</v>
      </c>
      <c r="F5">
        <v>279542.43</v>
      </c>
      <c r="H5">
        <f>H4+Tabla3[[#This Row],[Cargos]]-Tabla3[[#This Row],[Abonos]]</f>
        <v>345556.64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3:H4"/>
  <sheetViews>
    <sheetView workbookViewId="0">
      <selection activeCell="B10" sqref="B10"/>
    </sheetView>
  </sheetViews>
  <sheetFormatPr baseColWidth="10" defaultRowHeight="12.75" x14ac:dyDescent="0.2"/>
  <cols>
    <col min="4" max="4" width="11.7109375" customWidth="1"/>
    <col min="5" max="5" width="13" customWidth="1"/>
  </cols>
  <sheetData>
    <row r="3" spans="1:8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</row>
    <row r="4" spans="1:8" x14ac:dyDescent="0.2">
      <c r="A4" t="s">
        <v>237</v>
      </c>
      <c r="B4" t="s">
        <v>8</v>
      </c>
      <c r="C4">
        <v>6</v>
      </c>
      <c r="D4" t="s">
        <v>242</v>
      </c>
      <c r="E4" t="s">
        <v>243</v>
      </c>
      <c r="F4">
        <v>202788.97</v>
      </c>
      <c r="H4">
        <f>Tabla4[Cargos]</f>
        <v>202788.97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I24"/>
  <sheetViews>
    <sheetView workbookViewId="0">
      <selection activeCell="I19" sqref="I19"/>
    </sheetView>
  </sheetViews>
  <sheetFormatPr baseColWidth="10" defaultRowHeight="12.75" x14ac:dyDescent="0.2"/>
  <sheetData>
    <row r="1" spans="1:8" x14ac:dyDescent="0.2">
      <c r="A1" s="110" t="s">
        <v>25</v>
      </c>
      <c r="B1" s="110"/>
      <c r="C1" s="110"/>
      <c r="D1" s="110"/>
      <c r="E1" s="110"/>
      <c r="F1" s="110"/>
      <c r="G1" s="110"/>
      <c r="H1" s="110"/>
    </row>
    <row r="2" spans="1:8" x14ac:dyDescent="0.2">
      <c r="A2" s="112" t="s">
        <v>180</v>
      </c>
      <c r="B2" s="112"/>
      <c r="C2" s="112"/>
      <c r="D2" s="112"/>
      <c r="E2" s="112"/>
      <c r="F2" s="112"/>
      <c r="G2" s="112"/>
      <c r="H2" s="112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14" t="s">
        <v>47</v>
      </c>
      <c r="B4" s="14" t="s">
        <v>8</v>
      </c>
      <c r="C4" s="15">
        <v>1</v>
      </c>
      <c r="D4" s="14" t="s">
        <v>11</v>
      </c>
      <c r="E4" s="14" t="s">
        <v>48</v>
      </c>
      <c r="F4" s="16">
        <v>15080</v>
      </c>
      <c r="G4" s="14"/>
      <c r="H4" s="20">
        <f>F4-G4</f>
        <v>15080</v>
      </c>
    </row>
    <row r="5" spans="1:8" x14ac:dyDescent="0.2">
      <c r="A5" s="14" t="s">
        <v>90</v>
      </c>
      <c r="B5" s="14" t="s">
        <v>20</v>
      </c>
      <c r="C5" s="15">
        <v>1</v>
      </c>
      <c r="D5" s="14" t="s">
        <v>85</v>
      </c>
      <c r="E5" s="14" t="s">
        <v>48</v>
      </c>
      <c r="F5" s="14"/>
      <c r="G5" s="16">
        <v>15080</v>
      </c>
      <c r="H5" s="20">
        <f>H4+F5-G5</f>
        <v>0</v>
      </c>
    </row>
    <row r="6" spans="1:8" x14ac:dyDescent="0.2">
      <c r="A6" s="14" t="s">
        <v>62</v>
      </c>
      <c r="B6" s="14" t="s">
        <v>8</v>
      </c>
      <c r="C6" s="15">
        <v>20</v>
      </c>
      <c r="D6" s="14" t="s">
        <v>11</v>
      </c>
      <c r="E6" s="14" t="s">
        <v>63</v>
      </c>
      <c r="F6" s="16">
        <v>173420</v>
      </c>
      <c r="G6" s="14"/>
      <c r="H6" s="20">
        <f t="shared" ref="H6:H24" si="0">H5+F6-G6</f>
        <v>173420</v>
      </c>
    </row>
    <row r="7" spans="1:8" x14ac:dyDescent="0.2">
      <c r="A7" s="10" t="s">
        <v>84</v>
      </c>
      <c r="B7" s="10" t="s">
        <v>20</v>
      </c>
      <c r="C7" s="11">
        <v>4</v>
      </c>
      <c r="D7" s="10" t="s">
        <v>85</v>
      </c>
      <c r="E7" s="10" t="s">
        <v>63</v>
      </c>
      <c r="F7" s="10"/>
      <c r="G7" s="5">
        <v>173420</v>
      </c>
      <c r="H7" s="20">
        <f t="shared" si="0"/>
        <v>0</v>
      </c>
    </row>
    <row r="8" spans="1:8" x14ac:dyDescent="0.2">
      <c r="A8" s="14" t="s">
        <v>62</v>
      </c>
      <c r="B8" s="14" t="s">
        <v>8</v>
      </c>
      <c r="C8" s="15">
        <v>21</v>
      </c>
      <c r="D8" s="14" t="s">
        <v>11</v>
      </c>
      <c r="E8" s="14" t="s">
        <v>64</v>
      </c>
      <c r="F8" s="16">
        <v>114260</v>
      </c>
      <c r="G8" s="14"/>
      <c r="H8" s="20">
        <f t="shared" si="0"/>
        <v>114260</v>
      </c>
    </row>
    <row r="9" spans="1:8" s="61" customFormat="1" x14ac:dyDescent="0.2">
      <c r="A9" s="34" t="s">
        <v>131</v>
      </c>
      <c r="B9" s="34" t="s">
        <v>17</v>
      </c>
      <c r="C9" s="35">
        <v>155</v>
      </c>
      <c r="D9" s="34" t="s">
        <v>85</v>
      </c>
      <c r="E9" s="34" t="s">
        <v>133</v>
      </c>
      <c r="F9" s="36"/>
      <c r="G9" s="36">
        <v>114260</v>
      </c>
      <c r="H9" s="20">
        <f t="shared" si="0"/>
        <v>0</v>
      </c>
    </row>
    <row r="10" spans="1:8" x14ac:dyDescent="0.2">
      <c r="A10" s="10" t="s">
        <v>62</v>
      </c>
      <c r="B10" s="10" t="s">
        <v>8</v>
      </c>
      <c r="C10" s="11">
        <v>22</v>
      </c>
      <c r="D10" s="10" t="s">
        <v>11</v>
      </c>
      <c r="E10" s="10" t="s">
        <v>65</v>
      </c>
      <c r="F10" s="5">
        <v>131776</v>
      </c>
      <c r="G10" s="10"/>
      <c r="H10" s="20">
        <f t="shared" si="0"/>
        <v>131776</v>
      </c>
    </row>
    <row r="11" spans="1:8" x14ac:dyDescent="0.2">
      <c r="A11" s="10" t="s">
        <v>71</v>
      </c>
      <c r="B11" s="10" t="s">
        <v>8</v>
      </c>
      <c r="C11" s="11">
        <v>2</v>
      </c>
      <c r="D11" s="10" t="s">
        <v>11</v>
      </c>
      <c r="E11" s="10" t="s">
        <v>65</v>
      </c>
      <c r="F11" s="13">
        <v>-131776</v>
      </c>
      <c r="G11" s="10"/>
      <c r="H11" s="20">
        <f t="shared" si="0"/>
        <v>0</v>
      </c>
    </row>
    <row r="12" spans="1:8" x14ac:dyDescent="0.2">
      <c r="A12" s="10" t="s">
        <v>71</v>
      </c>
      <c r="B12" s="10" t="s">
        <v>8</v>
      </c>
      <c r="C12" s="11">
        <v>1</v>
      </c>
      <c r="D12" s="10" t="s">
        <v>11</v>
      </c>
      <c r="E12" s="10" t="s">
        <v>72</v>
      </c>
      <c r="F12" s="5">
        <v>131776</v>
      </c>
      <c r="G12" s="10"/>
      <c r="H12" s="20">
        <f t="shared" si="0"/>
        <v>131776</v>
      </c>
    </row>
    <row r="13" spans="1:8" x14ac:dyDescent="0.2">
      <c r="A13" s="10" t="s">
        <v>84</v>
      </c>
      <c r="B13" s="10" t="s">
        <v>20</v>
      </c>
      <c r="C13" s="11">
        <v>5</v>
      </c>
      <c r="D13" s="10" t="s">
        <v>85</v>
      </c>
      <c r="E13" s="10" t="s">
        <v>72</v>
      </c>
      <c r="F13" s="10"/>
      <c r="G13" s="5">
        <v>131776</v>
      </c>
      <c r="H13" s="20">
        <f t="shared" si="0"/>
        <v>0</v>
      </c>
    </row>
    <row r="14" spans="1:8" x14ac:dyDescent="0.2">
      <c r="A14" s="14" t="s">
        <v>73</v>
      </c>
      <c r="B14" s="14" t="s">
        <v>8</v>
      </c>
      <c r="C14" s="15">
        <v>4</v>
      </c>
      <c r="D14" s="14" t="s">
        <v>11</v>
      </c>
      <c r="E14" s="14" t="s">
        <v>74</v>
      </c>
      <c r="F14" s="16">
        <v>50863.47</v>
      </c>
      <c r="G14" s="14"/>
      <c r="H14" s="20">
        <f t="shared" si="0"/>
        <v>50863.47</v>
      </c>
    </row>
    <row r="15" spans="1:8" x14ac:dyDescent="0.2">
      <c r="A15" s="10" t="s">
        <v>93</v>
      </c>
      <c r="B15" s="10" t="s">
        <v>20</v>
      </c>
      <c r="C15" s="11">
        <v>4</v>
      </c>
      <c r="D15" s="10" t="s">
        <v>85</v>
      </c>
      <c r="E15" s="10" t="s">
        <v>74</v>
      </c>
      <c r="F15" s="10"/>
      <c r="G15" s="5">
        <v>50863.47</v>
      </c>
      <c r="H15" s="20">
        <f t="shared" si="0"/>
        <v>0</v>
      </c>
    </row>
    <row r="16" spans="1:8" x14ac:dyDescent="0.2">
      <c r="A16" s="14" t="s">
        <v>91</v>
      </c>
      <c r="B16" s="14" t="s">
        <v>8</v>
      </c>
      <c r="C16" s="15">
        <v>3</v>
      </c>
      <c r="D16" s="14" t="s">
        <v>11</v>
      </c>
      <c r="E16" s="14" t="s">
        <v>92</v>
      </c>
      <c r="F16" s="16">
        <v>40020</v>
      </c>
      <c r="G16" s="14"/>
      <c r="H16" s="20">
        <f t="shared" si="0"/>
        <v>40020</v>
      </c>
    </row>
    <row r="17" spans="1:9" x14ac:dyDescent="0.2">
      <c r="A17" s="48" t="s">
        <v>112</v>
      </c>
      <c r="B17" s="48" t="s">
        <v>20</v>
      </c>
      <c r="C17" s="49">
        <v>2</v>
      </c>
      <c r="D17" s="48" t="s">
        <v>85</v>
      </c>
      <c r="E17" s="48" t="s">
        <v>92</v>
      </c>
      <c r="F17" s="48"/>
      <c r="G17" s="50">
        <v>40020</v>
      </c>
      <c r="H17" s="20">
        <f t="shared" si="0"/>
        <v>0</v>
      </c>
    </row>
    <row r="18" spans="1:9" x14ac:dyDescent="0.2">
      <c r="A18" s="14" t="s">
        <v>104</v>
      </c>
      <c r="B18" s="14" t="s">
        <v>8</v>
      </c>
      <c r="C18" s="15">
        <v>30</v>
      </c>
      <c r="D18" s="14" t="s">
        <v>11</v>
      </c>
      <c r="E18" s="14" t="s">
        <v>106</v>
      </c>
      <c r="F18" s="16">
        <v>65540</v>
      </c>
      <c r="G18" s="14"/>
      <c r="H18" s="20">
        <f t="shared" si="0"/>
        <v>65540</v>
      </c>
    </row>
    <row r="19" spans="1:9" x14ac:dyDescent="0.2">
      <c r="A19" s="82" t="s">
        <v>193</v>
      </c>
      <c r="B19" s="82" t="s">
        <v>20</v>
      </c>
      <c r="C19" s="83">
        <v>9</v>
      </c>
      <c r="D19" s="82" t="s">
        <v>85</v>
      </c>
      <c r="E19" s="82" t="s">
        <v>106</v>
      </c>
      <c r="F19" s="84"/>
      <c r="G19" s="85">
        <v>65540</v>
      </c>
      <c r="H19" s="20">
        <f t="shared" si="0"/>
        <v>0</v>
      </c>
      <c r="I19" s="41" t="s">
        <v>108</v>
      </c>
    </row>
    <row r="20" spans="1:9" x14ac:dyDescent="0.2">
      <c r="A20" s="14" t="s">
        <v>104</v>
      </c>
      <c r="B20" s="14" t="s">
        <v>8</v>
      </c>
      <c r="C20" s="15">
        <v>31</v>
      </c>
      <c r="D20" s="14" t="s">
        <v>11</v>
      </c>
      <c r="E20" s="14" t="s">
        <v>107</v>
      </c>
      <c r="F20" s="16">
        <v>9744</v>
      </c>
      <c r="G20" s="14"/>
      <c r="H20" s="20">
        <f t="shared" si="0"/>
        <v>9744</v>
      </c>
    </row>
    <row r="21" spans="1:9" x14ac:dyDescent="0.2">
      <c r="A21" s="82" t="s">
        <v>193</v>
      </c>
      <c r="B21" s="82" t="s">
        <v>20</v>
      </c>
      <c r="C21" s="83">
        <v>12</v>
      </c>
      <c r="D21" s="82" t="s">
        <v>85</v>
      </c>
      <c r="E21" s="82" t="s">
        <v>107</v>
      </c>
      <c r="F21" s="84"/>
      <c r="G21" s="85">
        <v>9744</v>
      </c>
      <c r="H21" s="20">
        <f t="shared" si="0"/>
        <v>0</v>
      </c>
    </row>
    <row r="22" spans="1:9" x14ac:dyDescent="0.2">
      <c r="A22" s="48" t="s">
        <v>142</v>
      </c>
      <c r="B22" s="48" t="s">
        <v>8</v>
      </c>
      <c r="C22" s="49">
        <v>13</v>
      </c>
      <c r="D22" s="48" t="s">
        <v>11</v>
      </c>
      <c r="E22" s="48" t="s">
        <v>143</v>
      </c>
      <c r="F22" s="50">
        <v>10324.01</v>
      </c>
      <c r="G22" s="48"/>
      <c r="H22" s="20">
        <f t="shared" si="0"/>
        <v>10324.01</v>
      </c>
    </row>
    <row r="23" spans="1:9" x14ac:dyDescent="0.2">
      <c r="A23" s="34" t="s">
        <v>174</v>
      </c>
      <c r="B23" s="34" t="s">
        <v>17</v>
      </c>
      <c r="C23" s="35">
        <v>100</v>
      </c>
      <c r="D23" s="34" t="s">
        <v>175</v>
      </c>
      <c r="E23" s="34" t="s">
        <v>176</v>
      </c>
      <c r="F23" s="36"/>
      <c r="G23" s="36">
        <v>10324.01</v>
      </c>
      <c r="H23" s="20">
        <f t="shared" si="0"/>
        <v>0</v>
      </c>
    </row>
    <row r="24" spans="1:9" x14ac:dyDescent="0.2">
      <c r="A24" s="73" t="s">
        <v>188</v>
      </c>
      <c r="B24" s="73" t="s">
        <v>8</v>
      </c>
      <c r="C24" s="78">
        <v>13</v>
      </c>
      <c r="D24" s="73" t="s">
        <v>11</v>
      </c>
      <c r="E24" s="73" t="s">
        <v>189</v>
      </c>
      <c r="F24" s="79">
        <v>10324.01</v>
      </c>
      <c r="G24" s="80"/>
      <c r="H24" s="20">
        <f t="shared" si="0"/>
        <v>10324.01</v>
      </c>
    </row>
  </sheetData>
  <mergeCells count="2">
    <mergeCell ref="A1:H1"/>
    <mergeCell ref="A2:H2"/>
  </mergeCells>
  <hyperlinks>
    <hyperlink ref="I19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I6"/>
  <sheetViews>
    <sheetView workbookViewId="0">
      <selection activeCell="I11" sqref="I11"/>
    </sheetView>
  </sheetViews>
  <sheetFormatPr baseColWidth="10" defaultRowHeight="12.75" x14ac:dyDescent="0.2"/>
  <cols>
    <col min="4" max="4" width="29.28515625" bestFit="1" customWidth="1"/>
  </cols>
  <sheetData>
    <row r="1" spans="1:9" x14ac:dyDescent="0.2">
      <c r="A1" s="110" t="s">
        <v>25</v>
      </c>
      <c r="B1" s="110"/>
      <c r="C1" s="110"/>
      <c r="D1" s="110"/>
      <c r="E1" s="110"/>
      <c r="F1" s="110"/>
      <c r="G1" s="110"/>
      <c r="H1" s="110"/>
    </row>
    <row r="2" spans="1:9" x14ac:dyDescent="0.2">
      <c r="A2" s="112" t="s">
        <v>180</v>
      </c>
      <c r="B2" s="112"/>
      <c r="C2" s="112"/>
      <c r="D2" s="112"/>
      <c r="E2" s="112"/>
      <c r="F2" s="112"/>
      <c r="G2" s="112"/>
      <c r="H2" s="112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42" t="s">
        <v>117</v>
      </c>
      <c r="B4" s="42" t="s">
        <v>8</v>
      </c>
      <c r="C4" s="44">
        <v>13</v>
      </c>
      <c r="D4" s="42" t="s">
        <v>118</v>
      </c>
      <c r="E4" s="42" t="s">
        <v>119</v>
      </c>
      <c r="F4" s="43">
        <v>209999.44</v>
      </c>
      <c r="G4" s="42"/>
      <c r="H4" s="43">
        <f>F4</f>
        <v>209999.44</v>
      </c>
      <c r="I4" s="41" t="s">
        <v>108</v>
      </c>
    </row>
    <row r="5" spans="1:9" x14ac:dyDescent="0.2">
      <c r="A5" s="63" t="s">
        <v>144</v>
      </c>
      <c r="B5" s="63" t="s">
        <v>146</v>
      </c>
      <c r="C5" s="64">
        <v>96</v>
      </c>
      <c r="D5" s="63" t="s">
        <v>118</v>
      </c>
      <c r="E5" s="63" t="s">
        <v>119</v>
      </c>
      <c r="F5" s="63"/>
      <c r="G5" s="62">
        <v>30000</v>
      </c>
      <c r="H5" s="20">
        <f>H4+F5-G5</f>
        <v>179999.44</v>
      </c>
    </row>
    <row r="6" spans="1:9" x14ac:dyDescent="0.2">
      <c r="A6" s="63" t="s">
        <v>173</v>
      </c>
      <c r="B6" s="63" t="s">
        <v>146</v>
      </c>
      <c r="C6" s="64">
        <v>1</v>
      </c>
      <c r="D6" s="63" t="s">
        <v>118</v>
      </c>
      <c r="E6" s="63" t="s">
        <v>119</v>
      </c>
      <c r="F6" s="70"/>
      <c r="G6" s="62">
        <v>33000</v>
      </c>
      <c r="H6" s="20">
        <f>H5+F6-G6</f>
        <v>146999.44</v>
      </c>
    </row>
  </sheetData>
  <mergeCells count="2">
    <mergeCell ref="A1:H1"/>
    <mergeCell ref="A2:H2"/>
  </mergeCells>
  <hyperlinks>
    <hyperlink ref="I4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2:C9"/>
  <sheetViews>
    <sheetView workbookViewId="0">
      <selection activeCell="F13" sqref="F13"/>
    </sheetView>
  </sheetViews>
  <sheetFormatPr baseColWidth="10" defaultRowHeight="12.75" x14ac:dyDescent="0.2"/>
  <cols>
    <col min="1" max="1" width="48.28515625" bestFit="1" customWidth="1"/>
  </cols>
  <sheetData>
    <row r="2" spans="1:3" x14ac:dyDescent="0.2">
      <c r="B2" s="2" t="s">
        <v>26</v>
      </c>
      <c r="C2" s="2" t="s">
        <v>27</v>
      </c>
    </row>
    <row r="3" spans="1:3" x14ac:dyDescent="0.2">
      <c r="A3" s="1" t="s">
        <v>10</v>
      </c>
      <c r="B3">
        <v>0.05</v>
      </c>
    </row>
    <row r="4" spans="1:3" x14ac:dyDescent="0.2">
      <c r="A4" s="1" t="s">
        <v>9</v>
      </c>
      <c r="B4">
        <v>0.01</v>
      </c>
    </row>
    <row r="5" spans="1:3" x14ac:dyDescent="0.2">
      <c r="A5" s="1" t="s">
        <v>15</v>
      </c>
      <c r="C5">
        <v>0.03</v>
      </c>
    </row>
    <row r="6" spans="1:3" x14ac:dyDescent="0.2">
      <c r="A6" s="1" t="s">
        <v>16</v>
      </c>
      <c r="C6">
        <v>1.05</v>
      </c>
    </row>
    <row r="7" spans="1:3" x14ac:dyDescent="0.2">
      <c r="A7" s="1" t="s">
        <v>18</v>
      </c>
      <c r="C7">
        <v>0.02</v>
      </c>
    </row>
    <row r="8" spans="1:3" x14ac:dyDescent="0.2">
      <c r="B8">
        <f>SUM(B3:B7)</f>
        <v>6.0000000000000005E-2</v>
      </c>
      <c r="C8">
        <f>SUM(C3:C7)</f>
        <v>1.1000000000000001</v>
      </c>
    </row>
    <row r="9" spans="1:3" x14ac:dyDescent="0.2">
      <c r="C9">
        <f>C8-B8</f>
        <v>1.04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customUI/customUI14.xml><?xml version="1.0" encoding="utf-8"?>
<customUI xmlns="http://schemas.microsoft.com/office/2009/07/customui">
  <ribbon startFromScratch="false">
    <tabs>
      <tab id="customTab" insertBeforeMso="TabHome" label="Movimientos">
        <group id="customGroup" label="Generar">
          <button id="customButton" label="Crear" imageMso="ReviewShareWorkbook" size="large" onAction="verifica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ListaDeMovimientos</vt:lpstr>
      <vt:lpstr>AUXILIAR</vt:lpstr>
      <vt:lpstr>RESUMEN</vt:lpstr>
      <vt:lpstr>RESUMEN_KALIZ</vt:lpstr>
      <vt:lpstr>CEMENTOS</vt:lpstr>
      <vt:lpstr>COMERC DE LACTEOS</vt:lpstr>
      <vt:lpstr>DANONE</vt:lpstr>
      <vt:lpstr>GKN</vt:lpstr>
      <vt:lpstr>KASAI</vt:lpstr>
      <vt:lpstr>NYLTEK, S.A. DE C.V.</vt:lpstr>
      <vt:lpstr>MINA BOLAÑITOS</vt:lpstr>
      <vt:lpstr>OP DISTRIB</vt:lpstr>
      <vt:lpstr>PINTURAS</vt:lpstr>
      <vt:lpstr>RIVAS MARES</vt:lpstr>
      <vt:lpstr>SIEMENS</vt:lpstr>
      <vt:lpstr>SWITCH</vt:lpstr>
      <vt:lpstr>SCHNEIDER ELECTRIC</vt:lpstr>
      <vt:lpstr>THYSSENKRUPP</vt:lpstr>
      <vt:lpstr>UNIVEX</vt:lpstr>
      <vt:lpstr>VILLALOBOS VILLANUEVA</vt:lpstr>
      <vt:lpstr>DIF CENTAVOS</vt:lpstr>
      <vt:lpstr>Tabla1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SERVIDOR</dc:creator>
  <cp:lastModifiedBy>SOPORTE 2</cp:lastModifiedBy>
  <dcterms:created xsi:type="dcterms:W3CDTF">2018-02-07T02:36:17Z</dcterms:created>
  <dcterms:modified xsi:type="dcterms:W3CDTF">2019-06-27T21:16:18Z</dcterms:modified>
</cp:coreProperties>
</file>